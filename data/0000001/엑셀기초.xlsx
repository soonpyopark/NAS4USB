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D\Desktop\"/>
    </mc:Choice>
  </mc:AlternateContent>
  <xr:revisionPtr revIDLastSave="0" documentId="13_ncr:1_{19504102-1A90-42C4-8E10-20DFD97BB99E}" xr6:coauthVersionLast="47" xr6:coauthVersionMax="47" xr10:uidLastSave="{00000000-0000-0000-0000-000000000000}"/>
  <bookViews>
    <workbookView xWindow="28680" yWindow="-120" windowWidth="29040" windowHeight="15840" tabRatio="817" activeTab="10" xr2:uid="{00000000-000D-0000-FFFF-FFFF00000000}"/>
  </bookViews>
  <sheets>
    <sheet name="단축키" sheetId="1" r:id="rId1"/>
    <sheet name="문자표" sheetId="2" r:id="rId2"/>
    <sheet name="1. 자동채우기" sheetId="3" r:id="rId3"/>
    <sheet name="2. 데이터합치기" sheetId="4" r:id="rId4"/>
    <sheet name="3. 셀 복사" sheetId="5" r:id="rId5"/>
    <sheet name="4. 동일 형태표 일괄 수정(1)" sheetId="6" r:id="rId6"/>
    <sheet name="4. 동일 형태표 일괄 수정(2)" sheetId="7" r:id="rId7"/>
    <sheet name="5. VLOOKUP" sheetId="8" r:id="rId8"/>
    <sheet name="5. VLOOKUP 응용" sheetId="11" r:id="rId9"/>
    <sheet name="6.고급필터" sheetId="9" r:id="rId10"/>
    <sheet name="7. SUBTOTAL" sheetId="10" r:id="rId11"/>
  </sheets>
  <externalReferences>
    <externalReference r:id="rId12"/>
  </externalReferences>
  <definedNames>
    <definedName name="슬라이서_OrdMonth">#N/A</definedName>
    <definedName name="슬라이서_Resellercode">#N/A</definedName>
    <definedName name="인적사항">'[1]7_2.인적사항'!$B$2:$H$52</definedName>
    <definedName name="참조표">#REF!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3"/>
        <x14:slicerCache r:id="rId1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1" l="1"/>
  <c r="E7" i="11"/>
  <c r="D7" i="11"/>
  <c r="C7" i="11"/>
  <c r="B7" i="11"/>
  <c r="I110" i="10"/>
  <c r="B110" i="10"/>
  <c r="I109" i="10"/>
  <c r="B109" i="10"/>
  <c r="I108" i="10"/>
  <c r="B108" i="10"/>
  <c r="I107" i="10"/>
  <c r="B107" i="10"/>
  <c r="I106" i="10"/>
  <c r="B106" i="10"/>
  <c r="I105" i="10"/>
  <c r="B105" i="10"/>
  <c r="I104" i="10"/>
  <c r="B104" i="10"/>
  <c r="I103" i="10"/>
  <c r="B103" i="10"/>
  <c r="I102" i="10"/>
  <c r="B102" i="10"/>
  <c r="I101" i="10"/>
  <c r="B101" i="10"/>
  <c r="I100" i="10"/>
  <c r="B100" i="10"/>
  <c r="I99" i="10"/>
  <c r="B99" i="10"/>
  <c r="I98" i="10"/>
  <c r="B98" i="10"/>
  <c r="I97" i="10"/>
  <c r="B97" i="10"/>
  <c r="I96" i="10"/>
  <c r="B96" i="10"/>
  <c r="I95" i="10"/>
  <c r="B95" i="10"/>
  <c r="I94" i="10"/>
  <c r="B94" i="10"/>
  <c r="I93" i="10"/>
  <c r="B93" i="10"/>
  <c r="I92" i="10"/>
  <c r="B92" i="10"/>
  <c r="I91" i="10"/>
  <c r="B91" i="10"/>
  <c r="I90" i="10"/>
  <c r="B90" i="10"/>
  <c r="I89" i="10"/>
  <c r="B89" i="10"/>
  <c r="I88" i="10"/>
  <c r="B88" i="10"/>
  <c r="I87" i="10"/>
  <c r="B87" i="10"/>
  <c r="I86" i="10"/>
  <c r="B86" i="10"/>
  <c r="I85" i="10"/>
  <c r="B85" i="10"/>
  <c r="I84" i="10"/>
  <c r="B84" i="10"/>
  <c r="I83" i="10"/>
  <c r="B83" i="10"/>
  <c r="I82" i="10"/>
  <c r="B82" i="10"/>
  <c r="I81" i="10"/>
  <c r="B81" i="10"/>
  <c r="I80" i="10"/>
  <c r="B80" i="10"/>
  <c r="I79" i="10"/>
  <c r="B79" i="10"/>
  <c r="I78" i="10"/>
  <c r="B78" i="10"/>
  <c r="I77" i="10"/>
  <c r="B77" i="10"/>
  <c r="I76" i="10"/>
  <c r="B76" i="10"/>
  <c r="I75" i="10"/>
  <c r="B75" i="10"/>
  <c r="I74" i="10"/>
  <c r="B74" i="10"/>
  <c r="I73" i="10"/>
  <c r="B73" i="10"/>
  <c r="I72" i="10"/>
  <c r="B72" i="10"/>
  <c r="I71" i="10"/>
  <c r="B71" i="10"/>
  <c r="I70" i="10"/>
  <c r="B70" i="10"/>
  <c r="I69" i="10"/>
  <c r="B69" i="10"/>
  <c r="I68" i="10"/>
  <c r="B68" i="10"/>
  <c r="I67" i="10"/>
  <c r="B67" i="10"/>
  <c r="I66" i="10"/>
  <c r="B66" i="10"/>
  <c r="I65" i="10"/>
  <c r="B65" i="10"/>
  <c r="I64" i="10"/>
  <c r="B64" i="10"/>
  <c r="I63" i="10"/>
  <c r="B63" i="10"/>
  <c r="I62" i="10"/>
  <c r="B62" i="10"/>
  <c r="I61" i="10"/>
  <c r="B61" i="10"/>
  <c r="I60" i="10"/>
  <c r="B60" i="10"/>
  <c r="I59" i="10"/>
  <c r="B59" i="10"/>
  <c r="I58" i="10"/>
  <c r="B58" i="10"/>
  <c r="I57" i="10"/>
  <c r="B57" i="10"/>
  <c r="I56" i="10"/>
  <c r="B56" i="10"/>
  <c r="I55" i="10"/>
  <c r="B55" i="10"/>
  <c r="I54" i="10"/>
  <c r="B54" i="10"/>
  <c r="I53" i="10"/>
  <c r="B53" i="10"/>
  <c r="I52" i="10"/>
  <c r="B52" i="10"/>
  <c r="I51" i="10"/>
  <c r="B51" i="10"/>
  <c r="I50" i="10"/>
  <c r="B50" i="10"/>
  <c r="I49" i="10"/>
  <c r="B49" i="10"/>
  <c r="I48" i="10"/>
  <c r="B48" i="10"/>
  <c r="I47" i="10"/>
  <c r="B47" i="10"/>
  <c r="I46" i="10"/>
  <c r="B46" i="10"/>
  <c r="I45" i="10"/>
  <c r="B45" i="10"/>
  <c r="I44" i="10"/>
  <c r="B44" i="10"/>
  <c r="I43" i="10"/>
  <c r="B43" i="10"/>
  <c r="I42" i="10"/>
  <c r="B42" i="10"/>
  <c r="I41" i="10"/>
  <c r="B41" i="10"/>
  <c r="I40" i="10"/>
  <c r="B40" i="10"/>
  <c r="I39" i="10"/>
  <c r="B39" i="10"/>
  <c r="I38" i="10"/>
  <c r="B38" i="10"/>
  <c r="I37" i="10"/>
  <c r="B37" i="10"/>
  <c r="I36" i="10"/>
  <c r="B36" i="10"/>
  <c r="I35" i="10"/>
  <c r="B35" i="10"/>
  <c r="I34" i="10"/>
  <c r="B34" i="10"/>
  <c r="I33" i="10"/>
  <c r="B33" i="10"/>
  <c r="I32" i="10"/>
  <c r="B32" i="10"/>
  <c r="I31" i="10"/>
  <c r="B31" i="10"/>
  <c r="I30" i="10"/>
  <c r="B30" i="10"/>
  <c r="I29" i="10"/>
  <c r="B29" i="10"/>
  <c r="I28" i="10"/>
  <c r="B28" i="10"/>
  <c r="I27" i="10"/>
  <c r="B27" i="10"/>
  <c r="I26" i="10"/>
  <c r="B26" i="10"/>
  <c r="I25" i="10"/>
  <c r="B25" i="10"/>
  <c r="I24" i="10"/>
  <c r="B24" i="10"/>
  <c r="I23" i="10"/>
  <c r="B23" i="10"/>
  <c r="I22" i="10"/>
  <c r="B22" i="10"/>
  <c r="I21" i="10"/>
  <c r="B21" i="10"/>
  <c r="I20" i="10"/>
  <c r="B20" i="10"/>
  <c r="I19" i="10"/>
  <c r="B19" i="10"/>
  <c r="I18" i="10"/>
  <c r="B18" i="10"/>
  <c r="I17" i="10"/>
  <c r="B17" i="10"/>
  <c r="I16" i="10"/>
  <c r="B16" i="10"/>
  <c r="I15" i="10"/>
  <c r="B15" i="10"/>
  <c r="I14" i="10"/>
  <c r="B14" i="10"/>
  <c r="I13" i="10"/>
  <c r="B13" i="10"/>
  <c r="I12" i="10"/>
  <c r="B12" i="10"/>
  <c r="I11" i="10"/>
  <c r="B11" i="10"/>
  <c r="H5" i="10" l="1"/>
  <c r="I5" i="10"/>
  <c r="G4" i="10"/>
  <c r="F4" i="10"/>
  <c r="F5" i="10"/>
  <c r="G5" i="10"/>
  <c r="H4" i="10"/>
  <c r="I4" i="10"/>
  <c r="I14" i="9"/>
  <c r="I15" i="8" l="1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J5" i="8"/>
  <c r="I5" i="8"/>
  <c r="H5" i="8"/>
  <c r="D5" i="8"/>
</calcChain>
</file>

<file path=xl/sharedStrings.xml><?xml version="1.0" encoding="utf-8"?>
<sst xmlns="http://schemas.openxmlformats.org/spreadsheetml/2006/main" count="1603" uniqueCount="1231">
  <si>
    <t>차트 삽입</t>
  </si>
  <si>
    <t>F11</t>
  </si>
  <si>
    <t>Ctrl + Enter</t>
  </si>
  <si>
    <t>현재 시간 입력</t>
  </si>
  <si>
    <t>Ctrl + Shift + ;</t>
  </si>
  <si>
    <t>오늘 날짜 입력</t>
  </si>
  <si>
    <t>Ctrl + ;</t>
  </si>
  <si>
    <t>수식 보기</t>
  </si>
  <si>
    <t>Ctrl + ~</t>
  </si>
  <si>
    <t>셀 서식 대화상자 열기</t>
    <phoneticPr fontId="2" type="noConversion"/>
  </si>
  <si>
    <t>Ctrl + 1</t>
  </si>
  <si>
    <t>기 타</t>
    <phoneticPr fontId="7" type="noConversion"/>
  </si>
  <si>
    <t>취소선</t>
  </si>
  <si>
    <t>Ctrl + 5</t>
  </si>
  <si>
    <t>밑줄</t>
  </si>
  <si>
    <t>Ctrl + U</t>
  </si>
  <si>
    <t>기울임꼴</t>
  </si>
  <si>
    <t>Ctrl + I</t>
  </si>
  <si>
    <t>굵게</t>
  </si>
  <si>
    <t>Ctrl + B</t>
  </si>
  <si>
    <t>서식 지정</t>
    <phoneticPr fontId="7" type="noConversion"/>
  </si>
  <si>
    <t>이전 시트로 이동</t>
  </si>
  <si>
    <t>Ctrl + Pageup</t>
  </si>
  <si>
    <t>다음 시트로 이동</t>
  </si>
  <si>
    <t>Ctrl + Pagedown</t>
  </si>
  <si>
    <t>새 워크시트 삽입</t>
  </si>
  <si>
    <t>Shift + F11</t>
  </si>
  <si>
    <t>워크시트 작업</t>
    <phoneticPr fontId="7" type="noConversion"/>
  </si>
  <si>
    <t>일반 서식 전환</t>
  </si>
  <si>
    <t>Ctrl + Shift + ~</t>
  </si>
  <si>
    <t>빠르게 행/열 삽입, 삭제</t>
  </si>
  <si>
    <t>Ctrl + 키패드 +, -</t>
  </si>
  <si>
    <t>한 셀에 두 줄 이상 입력</t>
  </si>
  <si>
    <t>Alt + Enter</t>
  </si>
  <si>
    <t>행 전체 선택</t>
  </si>
  <si>
    <t>Shift + SpaceBar</t>
  </si>
  <si>
    <t>열 전체 선택</t>
  </si>
  <si>
    <t xml:space="preserve">Ctrl + SpaceBar </t>
  </si>
  <si>
    <t>셀, 행/열, 개체 선택 및 셀 표시 형식</t>
    <phoneticPr fontId="7" type="noConversion"/>
  </si>
  <si>
    <t>연속하여 입력된 데이터의 마지막셀로 이동</t>
  </si>
  <si>
    <t>Ctrl + End</t>
  </si>
  <si>
    <t>해당 행의 A열로 이동</t>
  </si>
  <si>
    <t>Home</t>
  </si>
  <si>
    <t>A1셀로 이동</t>
  </si>
  <si>
    <t>Ctrl + Home</t>
  </si>
  <si>
    <t>워크시트에서의 이동 및 스크롤</t>
    <phoneticPr fontId="7" type="noConversion"/>
  </si>
  <si>
    <t>이름 관리자 열기</t>
    <phoneticPr fontId="2" type="noConversion"/>
  </si>
  <si>
    <t>Ctrl + F3</t>
    <phoneticPr fontId="2" type="noConversion"/>
  </si>
  <si>
    <t>이동 대화상자 열기</t>
    <phoneticPr fontId="2" type="noConversion"/>
  </si>
  <si>
    <t>바꾸기</t>
  </si>
  <si>
    <t>Ctrl + H</t>
  </si>
  <si>
    <t>찾기</t>
  </si>
  <si>
    <t>Ctrl + F</t>
  </si>
  <si>
    <t>Ctrl + R</t>
  </si>
  <si>
    <t>위 셀 데이터 복제</t>
  </si>
  <si>
    <t>Ctrl + D</t>
  </si>
  <si>
    <t>인쇄 미리보기</t>
  </si>
  <si>
    <t>Ctrl + P</t>
  </si>
  <si>
    <t>메뉴 관련 단축키</t>
    <phoneticPr fontId="7" type="noConversion"/>
  </si>
  <si>
    <t>왼쪽 셀 데이터 복제</t>
    <phoneticPr fontId="2" type="noConversion"/>
  </si>
  <si>
    <t>동일한 내용으로 채워짐</t>
    <phoneticPr fontId="2" type="noConversion"/>
  </si>
  <si>
    <t>범위지정하고 내용입력한 후 Ctrl + Enter 누르면</t>
    <phoneticPr fontId="2" type="noConversion"/>
  </si>
  <si>
    <t>데이터 수정</t>
    <phoneticPr fontId="2" type="noConversion"/>
  </si>
  <si>
    <t>F2</t>
    <phoneticPr fontId="2" type="noConversion"/>
  </si>
  <si>
    <t>Ctrl + Y 또는 F4</t>
    <phoneticPr fontId="2" type="noConversion"/>
  </si>
  <si>
    <t>Ctrl + G 또는 F5</t>
    <phoneticPr fontId="2" type="noConversion"/>
  </si>
  <si>
    <t>Alt + D + P</t>
    <phoneticPr fontId="2" type="noConversion"/>
  </si>
  <si>
    <t>피벗테이블/피벗 차트 마법사</t>
    <phoneticPr fontId="2" type="noConversion"/>
  </si>
  <si>
    <t>자판</t>
    <phoneticPr fontId="7" type="noConversion"/>
  </si>
  <si>
    <t>ㅅ</t>
  </si>
  <si>
    <t>㉠</t>
    <phoneticPr fontId="7" type="noConversion"/>
  </si>
  <si>
    <t>㉡</t>
    <phoneticPr fontId="7" type="noConversion"/>
  </si>
  <si>
    <t>㉢</t>
    <phoneticPr fontId="7" type="noConversion"/>
  </si>
  <si>
    <t>㉣</t>
    <phoneticPr fontId="7" type="noConversion"/>
  </si>
  <si>
    <t>㉤</t>
    <phoneticPr fontId="7" type="noConversion"/>
  </si>
  <si>
    <t>㉥</t>
    <phoneticPr fontId="7" type="noConversion"/>
  </si>
  <si>
    <t>㉦</t>
    <phoneticPr fontId="7" type="noConversion"/>
  </si>
  <si>
    <t>㉧</t>
    <phoneticPr fontId="7" type="noConversion"/>
  </si>
  <si>
    <t>㉨</t>
    <phoneticPr fontId="7" type="noConversion"/>
  </si>
  <si>
    <t>㉩</t>
    <phoneticPr fontId="7" type="noConversion"/>
  </si>
  <si>
    <t>㉪</t>
    <phoneticPr fontId="7" type="noConversion"/>
  </si>
  <si>
    <t>㉫</t>
    <phoneticPr fontId="7" type="noConversion"/>
  </si>
  <si>
    <t>㉬</t>
    <phoneticPr fontId="7" type="noConversion"/>
  </si>
  <si>
    <t>㉭</t>
    <phoneticPr fontId="7" type="noConversion"/>
  </si>
  <si>
    <t>㉮</t>
    <phoneticPr fontId="7" type="noConversion"/>
  </si>
  <si>
    <t>㉯</t>
    <phoneticPr fontId="7" type="noConversion"/>
  </si>
  <si>
    <t>㉱</t>
    <phoneticPr fontId="7" type="noConversion"/>
  </si>
  <si>
    <t>㉲</t>
    <phoneticPr fontId="7" type="noConversion"/>
  </si>
  <si>
    <t>㉳</t>
    <phoneticPr fontId="7" type="noConversion"/>
  </si>
  <si>
    <t>㉴</t>
    <phoneticPr fontId="7" type="noConversion"/>
  </si>
  <si>
    <t>㉵</t>
    <phoneticPr fontId="7" type="noConversion"/>
  </si>
  <si>
    <t>㉶</t>
    <phoneticPr fontId="7" type="noConversion"/>
  </si>
  <si>
    <t>㉷</t>
    <phoneticPr fontId="7" type="noConversion"/>
  </si>
  <si>
    <t>㉸</t>
    <phoneticPr fontId="7" type="noConversion"/>
  </si>
  <si>
    <t>㉹</t>
    <phoneticPr fontId="7" type="noConversion"/>
  </si>
  <si>
    <t>㉺</t>
    <phoneticPr fontId="7" type="noConversion"/>
  </si>
  <si>
    <t>㉻</t>
    <phoneticPr fontId="7" type="noConversion"/>
  </si>
  <si>
    <t>㈀</t>
    <phoneticPr fontId="7" type="noConversion"/>
  </si>
  <si>
    <t>㈁</t>
    <phoneticPr fontId="7" type="noConversion"/>
  </si>
  <si>
    <t>㈂</t>
    <phoneticPr fontId="7" type="noConversion"/>
  </si>
  <si>
    <t>㈃</t>
    <phoneticPr fontId="7" type="noConversion"/>
  </si>
  <si>
    <t>㈄</t>
    <phoneticPr fontId="7" type="noConversion"/>
  </si>
  <si>
    <t>㈅</t>
    <phoneticPr fontId="7" type="noConversion"/>
  </si>
  <si>
    <t>㈆</t>
    <phoneticPr fontId="7" type="noConversion"/>
  </si>
  <si>
    <t>㈇</t>
    <phoneticPr fontId="7" type="noConversion"/>
  </si>
  <si>
    <t>ㄱ</t>
  </si>
  <si>
    <t>　</t>
    <phoneticPr fontId="7" type="noConversion"/>
  </si>
  <si>
    <t>！</t>
    <phoneticPr fontId="7" type="noConversion"/>
  </si>
  <si>
    <t>'</t>
    <phoneticPr fontId="7" type="noConversion"/>
  </si>
  <si>
    <t>，</t>
    <phoneticPr fontId="7" type="noConversion"/>
  </si>
  <si>
    <t>．</t>
    <phoneticPr fontId="7" type="noConversion"/>
  </si>
  <si>
    <t>／</t>
    <phoneticPr fontId="7" type="noConversion"/>
  </si>
  <si>
    <t>：</t>
    <phoneticPr fontId="7" type="noConversion"/>
  </si>
  <si>
    <t>；</t>
    <phoneticPr fontId="7" type="noConversion"/>
  </si>
  <si>
    <t>？</t>
    <phoneticPr fontId="7" type="noConversion"/>
  </si>
  <si>
    <t>㈈</t>
    <phoneticPr fontId="7" type="noConversion"/>
  </si>
  <si>
    <t>㈉</t>
    <phoneticPr fontId="7" type="noConversion"/>
  </si>
  <si>
    <t>㈊</t>
    <phoneticPr fontId="7" type="noConversion"/>
  </si>
  <si>
    <t>㈋</t>
    <phoneticPr fontId="7" type="noConversion"/>
  </si>
  <si>
    <t>㈌</t>
    <phoneticPr fontId="7" type="noConversion"/>
  </si>
  <si>
    <t>㈍</t>
    <phoneticPr fontId="7" type="noConversion"/>
  </si>
  <si>
    <t>㈎</t>
    <phoneticPr fontId="7" type="noConversion"/>
  </si>
  <si>
    <t>㈏</t>
    <phoneticPr fontId="7" type="noConversion"/>
  </si>
  <si>
    <t>㈐</t>
    <phoneticPr fontId="7" type="noConversion"/>
  </si>
  <si>
    <t>＾</t>
    <phoneticPr fontId="7" type="noConversion"/>
  </si>
  <si>
    <t>＿</t>
    <phoneticPr fontId="7" type="noConversion"/>
  </si>
  <si>
    <t>｀</t>
    <phoneticPr fontId="7" type="noConversion"/>
  </si>
  <si>
    <t>｜</t>
    <phoneticPr fontId="7" type="noConversion"/>
  </si>
  <si>
    <t>￣</t>
    <phoneticPr fontId="7" type="noConversion"/>
  </si>
  <si>
    <t>、</t>
    <phoneticPr fontId="7" type="noConversion"/>
  </si>
  <si>
    <t>。</t>
    <phoneticPr fontId="7" type="noConversion"/>
  </si>
  <si>
    <t>·</t>
    <phoneticPr fontId="7" type="noConversion"/>
  </si>
  <si>
    <t>‥</t>
    <phoneticPr fontId="7" type="noConversion"/>
  </si>
  <si>
    <t>㈑</t>
    <phoneticPr fontId="7" type="noConversion"/>
  </si>
  <si>
    <t>㈒</t>
    <phoneticPr fontId="7" type="noConversion"/>
  </si>
  <si>
    <t>㈓</t>
    <phoneticPr fontId="7" type="noConversion"/>
  </si>
  <si>
    <t>㈔</t>
    <phoneticPr fontId="7" type="noConversion"/>
  </si>
  <si>
    <t>㈕</t>
    <phoneticPr fontId="7" type="noConversion"/>
  </si>
  <si>
    <t>㈖</t>
    <phoneticPr fontId="7" type="noConversion"/>
  </si>
  <si>
    <t>㈗</t>
    <phoneticPr fontId="7" type="noConversion"/>
  </si>
  <si>
    <t>㈘</t>
    <phoneticPr fontId="7" type="noConversion"/>
  </si>
  <si>
    <t>㈙</t>
    <phoneticPr fontId="7" type="noConversion"/>
  </si>
  <si>
    <t>…</t>
    <phoneticPr fontId="7" type="noConversion"/>
  </si>
  <si>
    <t>¨</t>
    <phoneticPr fontId="7" type="noConversion"/>
  </si>
  <si>
    <t>〃</t>
    <phoneticPr fontId="7" type="noConversion"/>
  </si>
  <si>
    <t>­</t>
    <phoneticPr fontId="7" type="noConversion"/>
  </si>
  <si>
    <t>―</t>
    <phoneticPr fontId="7" type="noConversion"/>
  </si>
  <si>
    <t>∥</t>
    <phoneticPr fontId="7" type="noConversion"/>
  </si>
  <si>
    <t>＼</t>
    <phoneticPr fontId="7" type="noConversion"/>
  </si>
  <si>
    <t>∼</t>
    <phoneticPr fontId="7" type="noConversion"/>
  </si>
  <si>
    <t>´</t>
    <phoneticPr fontId="7" type="noConversion"/>
  </si>
  <si>
    <t>㈚</t>
    <phoneticPr fontId="7" type="noConversion"/>
  </si>
  <si>
    <t>㈛</t>
    <phoneticPr fontId="7" type="noConversion"/>
  </si>
  <si>
    <t>～</t>
    <phoneticPr fontId="7" type="noConversion"/>
  </si>
  <si>
    <t>ˇ</t>
    <phoneticPr fontId="7" type="noConversion"/>
  </si>
  <si>
    <t>˘</t>
    <phoneticPr fontId="7" type="noConversion"/>
  </si>
  <si>
    <t>˝</t>
    <phoneticPr fontId="7" type="noConversion"/>
  </si>
  <si>
    <t>˚</t>
    <phoneticPr fontId="7" type="noConversion"/>
  </si>
  <si>
    <t>˙</t>
    <phoneticPr fontId="7" type="noConversion"/>
  </si>
  <si>
    <t>¸</t>
    <phoneticPr fontId="7" type="noConversion"/>
  </si>
  <si>
    <t>˛</t>
    <phoneticPr fontId="7" type="noConversion"/>
  </si>
  <si>
    <t>¡</t>
    <phoneticPr fontId="7" type="noConversion"/>
  </si>
  <si>
    <t>ㅇ</t>
  </si>
  <si>
    <t>ⓐ</t>
    <phoneticPr fontId="7" type="noConversion"/>
  </si>
  <si>
    <t>ⓑ</t>
    <phoneticPr fontId="7" type="noConversion"/>
  </si>
  <si>
    <t>ⓒ</t>
    <phoneticPr fontId="7" type="noConversion"/>
  </si>
  <si>
    <t>ⓓ</t>
    <phoneticPr fontId="7" type="noConversion"/>
  </si>
  <si>
    <t>ⓔ</t>
    <phoneticPr fontId="7" type="noConversion"/>
  </si>
  <si>
    <t>ⓕ</t>
    <phoneticPr fontId="7" type="noConversion"/>
  </si>
  <si>
    <t>ⓖ</t>
    <phoneticPr fontId="7" type="noConversion"/>
  </si>
  <si>
    <t>ⓗ</t>
    <phoneticPr fontId="7" type="noConversion"/>
  </si>
  <si>
    <t>ⓘ</t>
    <phoneticPr fontId="7" type="noConversion"/>
  </si>
  <si>
    <t>¿</t>
    <phoneticPr fontId="7" type="noConversion"/>
  </si>
  <si>
    <t>ː</t>
    <phoneticPr fontId="7" type="noConversion"/>
  </si>
  <si>
    <t>ⓙ</t>
    <phoneticPr fontId="7" type="noConversion"/>
  </si>
  <si>
    <t>ⓚ</t>
    <phoneticPr fontId="7" type="noConversion"/>
  </si>
  <si>
    <t>ⓛ</t>
    <phoneticPr fontId="7" type="noConversion"/>
  </si>
  <si>
    <t>ⓜ</t>
    <phoneticPr fontId="7" type="noConversion"/>
  </si>
  <si>
    <t>ⓝ</t>
    <phoneticPr fontId="7" type="noConversion"/>
  </si>
  <si>
    <t>ⓞ</t>
    <phoneticPr fontId="7" type="noConversion"/>
  </si>
  <si>
    <t>ⓟ</t>
    <phoneticPr fontId="7" type="noConversion"/>
  </si>
  <si>
    <t>ⓠ</t>
    <phoneticPr fontId="7" type="noConversion"/>
  </si>
  <si>
    <t>ⓡ</t>
    <phoneticPr fontId="7" type="noConversion"/>
  </si>
  <si>
    <t>ㄴ</t>
  </si>
  <si>
    <t>＂</t>
    <phoneticPr fontId="7" type="noConversion"/>
  </si>
  <si>
    <t>（</t>
    <phoneticPr fontId="7" type="noConversion"/>
  </si>
  <si>
    <t>）</t>
    <phoneticPr fontId="7" type="noConversion"/>
  </si>
  <si>
    <t>［</t>
    <phoneticPr fontId="7" type="noConversion"/>
  </si>
  <si>
    <t>］</t>
    <phoneticPr fontId="7" type="noConversion"/>
  </si>
  <si>
    <t>｛</t>
    <phoneticPr fontId="7" type="noConversion"/>
  </si>
  <si>
    <t>｝</t>
    <phoneticPr fontId="7" type="noConversion"/>
  </si>
  <si>
    <t>‘</t>
    <phoneticPr fontId="7" type="noConversion"/>
  </si>
  <si>
    <t>’</t>
    <phoneticPr fontId="7" type="noConversion"/>
  </si>
  <si>
    <t>ⓢ</t>
    <phoneticPr fontId="7" type="noConversion"/>
  </si>
  <si>
    <t>ⓣ</t>
    <phoneticPr fontId="7" type="noConversion"/>
  </si>
  <si>
    <t>ⓤ</t>
    <phoneticPr fontId="7" type="noConversion"/>
  </si>
  <si>
    <t>ⓥ</t>
    <phoneticPr fontId="7" type="noConversion"/>
  </si>
  <si>
    <t>ⓦ</t>
    <phoneticPr fontId="7" type="noConversion"/>
  </si>
  <si>
    <t>ⓧ</t>
    <phoneticPr fontId="7" type="noConversion"/>
  </si>
  <si>
    <t>ⓨ</t>
    <phoneticPr fontId="7" type="noConversion"/>
  </si>
  <si>
    <t>ⓩ</t>
    <phoneticPr fontId="7" type="noConversion"/>
  </si>
  <si>
    <t>①</t>
    <phoneticPr fontId="7" type="noConversion"/>
  </si>
  <si>
    <t>“</t>
    <phoneticPr fontId="7" type="noConversion"/>
  </si>
  <si>
    <t>”</t>
    <phoneticPr fontId="7" type="noConversion"/>
  </si>
  <si>
    <t>〔</t>
    <phoneticPr fontId="7" type="noConversion"/>
  </si>
  <si>
    <t>〕</t>
    <phoneticPr fontId="7" type="noConversion"/>
  </si>
  <si>
    <t>〈</t>
    <phoneticPr fontId="7" type="noConversion"/>
  </si>
  <si>
    <t>〉</t>
    <phoneticPr fontId="7" type="noConversion"/>
  </si>
  <si>
    <t>《</t>
    <phoneticPr fontId="7" type="noConversion"/>
  </si>
  <si>
    <t>》</t>
    <phoneticPr fontId="7" type="noConversion"/>
  </si>
  <si>
    <t>「</t>
    <phoneticPr fontId="7" type="noConversion"/>
  </si>
  <si>
    <t>②</t>
  </si>
  <si>
    <t>③</t>
  </si>
  <si>
    <t>④</t>
    <phoneticPr fontId="7" type="noConversion"/>
  </si>
  <si>
    <t>⑤</t>
    <phoneticPr fontId="7" type="noConversion"/>
  </si>
  <si>
    <t>⑥</t>
    <phoneticPr fontId="7" type="noConversion"/>
  </si>
  <si>
    <t>⑦</t>
  </si>
  <si>
    <t>⑧</t>
  </si>
  <si>
    <t>⑨</t>
    <phoneticPr fontId="7" type="noConversion"/>
  </si>
  <si>
    <t>⑩</t>
    <phoneticPr fontId="7" type="noConversion"/>
  </si>
  <si>
    <t>」</t>
    <phoneticPr fontId="7" type="noConversion"/>
  </si>
  <si>
    <t>『</t>
    <phoneticPr fontId="7" type="noConversion"/>
  </si>
  <si>
    <t>』</t>
    <phoneticPr fontId="7" type="noConversion"/>
  </si>
  <si>
    <t>【</t>
    <phoneticPr fontId="7" type="noConversion"/>
  </si>
  <si>
    <t>】</t>
    <phoneticPr fontId="7" type="noConversion"/>
  </si>
  <si>
    <t>⑪</t>
    <phoneticPr fontId="7" type="noConversion"/>
  </si>
  <si>
    <t>⑫</t>
    <phoneticPr fontId="7" type="noConversion"/>
  </si>
  <si>
    <t>⑬</t>
    <phoneticPr fontId="7" type="noConversion"/>
  </si>
  <si>
    <t>⑭</t>
    <phoneticPr fontId="7" type="noConversion"/>
  </si>
  <si>
    <t>⑮</t>
    <phoneticPr fontId="7" type="noConversion"/>
  </si>
  <si>
    <t>⒜</t>
    <phoneticPr fontId="7" type="noConversion"/>
  </si>
  <si>
    <t>⒝</t>
    <phoneticPr fontId="7" type="noConversion"/>
  </si>
  <si>
    <t>⒞</t>
    <phoneticPr fontId="7" type="noConversion"/>
  </si>
  <si>
    <t>⒟</t>
    <phoneticPr fontId="7" type="noConversion"/>
  </si>
  <si>
    <t>ㄷ</t>
  </si>
  <si>
    <t>+</t>
    <phoneticPr fontId="7" type="noConversion"/>
  </si>
  <si>
    <t>－</t>
    <phoneticPr fontId="7" type="noConversion"/>
  </si>
  <si>
    <t>＜</t>
    <phoneticPr fontId="7" type="noConversion"/>
  </si>
  <si>
    <t>=</t>
    <phoneticPr fontId="7" type="noConversion"/>
  </si>
  <si>
    <t>＞</t>
    <phoneticPr fontId="7" type="noConversion"/>
  </si>
  <si>
    <t>±</t>
    <phoneticPr fontId="7" type="noConversion"/>
  </si>
  <si>
    <t>×</t>
    <phoneticPr fontId="7" type="noConversion"/>
  </si>
  <si>
    <t>÷</t>
    <phoneticPr fontId="7" type="noConversion"/>
  </si>
  <si>
    <t>≠</t>
    <phoneticPr fontId="7" type="noConversion"/>
  </si>
  <si>
    <t>⒠</t>
    <phoneticPr fontId="7" type="noConversion"/>
  </si>
  <si>
    <t>⒡</t>
    <phoneticPr fontId="7" type="noConversion"/>
  </si>
  <si>
    <t>⒢</t>
  </si>
  <si>
    <t>⒣</t>
  </si>
  <si>
    <t>⒤</t>
  </si>
  <si>
    <t>⒥</t>
    <phoneticPr fontId="7" type="noConversion"/>
  </si>
  <si>
    <t>⒦</t>
    <phoneticPr fontId="7" type="noConversion"/>
  </si>
  <si>
    <t>⒧</t>
    <phoneticPr fontId="7" type="noConversion"/>
  </si>
  <si>
    <t>⒨</t>
    <phoneticPr fontId="7" type="noConversion"/>
  </si>
  <si>
    <t>≤</t>
    <phoneticPr fontId="7" type="noConversion"/>
  </si>
  <si>
    <t>≥</t>
    <phoneticPr fontId="7" type="noConversion"/>
  </si>
  <si>
    <t>∞</t>
    <phoneticPr fontId="7" type="noConversion"/>
  </si>
  <si>
    <t>∴</t>
    <phoneticPr fontId="7" type="noConversion"/>
  </si>
  <si>
    <t>♂</t>
    <phoneticPr fontId="7" type="noConversion"/>
  </si>
  <si>
    <t>♀</t>
    <phoneticPr fontId="7" type="noConversion"/>
  </si>
  <si>
    <t>∠</t>
    <phoneticPr fontId="7" type="noConversion"/>
  </si>
  <si>
    <t>⊥</t>
    <phoneticPr fontId="7" type="noConversion"/>
  </si>
  <si>
    <t>⌒</t>
    <phoneticPr fontId="7" type="noConversion"/>
  </si>
  <si>
    <t>⒩</t>
    <phoneticPr fontId="7" type="noConversion"/>
  </si>
  <si>
    <t>⒪</t>
    <phoneticPr fontId="7" type="noConversion"/>
  </si>
  <si>
    <t>⒫</t>
    <phoneticPr fontId="7" type="noConversion"/>
  </si>
  <si>
    <t>⒬</t>
    <phoneticPr fontId="7" type="noConversion"/>
  </si>
  <si>
    <t>⒭</t>
    <phoneticPr fontId="7" type="noConversion"/>
  </si>
  <si>
    <t>⒮</t>
    <phoneticPr fontId="7" type="noConversion"/>
  </si>
  <si>
    <t>⒯</t>
    <phoneticPr fontId="7" type="noConversion"/>
  </si>
  <si>
    <t>⒰</t>
    <phoneticPr fontId="7" type="noConversion"/>
  </si>
  <si>
    <t>⒱</t>
    <phoneticPr fontId="7" type="noConversion"/>
  </si>
  <si>
    <t>∂</t>
    <phoneticPr fontId="7" type="noConversion"/>
  </si>
  <si>
    <t>∇</t>
    <phoneticPr fontId="7" type="noConversion"/>
  </si>
  <si>
    <t>≡</t>
    <phoneticPr fontId="7" type="noConversion"/>
  </si>
  <si>
    <t>≒</t>
    <phoneticPr fontId="7" type="noConversion"/>
  </si>
  <si>
    <t>≪</t>
    <phoneticPr fontId="7" type="noConversion"/>
  </si>
  <si>
    <t>≫</t>
    <phoneticPr fontId="7" type="noConversion"/>
  </si>
  <si>
    <t>√</t>
    <phoneticPr fontId="7" type="noConversion"/>
  </si>
  <si>
    <t>∽</t>
    <phoneticPr fontId="7" type="noConversion"/>
  </si>
  <si>
    <t>∝</t>
    <phoneticPr fontId="7" type="noConversion"/>
  </si>
  <si>
    <t>⒲</t>
    <phoneticPr fontId="7" type="noConversion"/>
  </si>
  <si>
    <t>⒳</t>
    <phoneticPr fontId="7" type="noConversion"/>
  </si>
  <si>
    <t>⑻</t>
    <phoneticPr fontId="7" type="noConversion"/>
  </si>
  <si>
    <t>⒵</t>
    <phoneticPr fontId="7" type="noConversion"/>
  </si>
  <si>
    <t>⑴</t>
    <phoneticPr fontId="7" type="noConversion"/>
  </si>
  <si>
    <t>⑵</t>
    <phoneticPr fontId="7" type="noConversion"/>
  </si>
  <si>
    <t>⑶</t>
    <phoneticPr fontId="7" type="noConversion"/>
  </si>
  <si>
    <t>⑷</t>
    <phoneticPr fontId="7" type="noConversion"/>
  </si>
  <si>
    <t>⑸</t>
    <phoneticPr fontId="7" type="noConversion"/>
  </si>
  <si>
    <t>∵</t>
    <phoneticPr fontId="7" type="noConversion"/>
  </si>
  <si>
    <t>∫</t>
    <phoneticPr fontId="7" type="noConversion"/>
  </si>
  <si>
    <t>∬</t>
    <phoneticPr fontId="7" type="noConversion"/>
  </si>
  <si>
    <t>∈</t>
    <phoneticPr fontId="7" type="noConversion"/>
  </si>
  <si>
    <t>∋</t>
    <phoneticPr fontId="7" type="noConversion"/>
  </si>
  <si>
    <t>⊆</t>
    <phoneticPr fontId="7" type="noConversion"/>
  </si>
  <si>
    <t>⊇</t>
    <phoneticPr fontId="7" type="noConversion"/>
  </si>
  <si>
    <t>⊂</t>
    <phoneticPr fontId="7" type="noConversion"/>
  </si>
  <si>
    <t>⊃</t>
    <phoneticPr fontId="7" type="noConversion"/>
  </si>
  <si>
    <t>⑹</t>
    <phoneticPr fontId="7" type="noConversion"/>
  </si>
  <si>
    <t>⑺</t>
    <phoneticPr fontId="7" type="noConversion"/>
  </si>
  <si>
    <t>⒴</t>
    <phoneticPr fontId="7" type="noConversion"/>
  </si>
  <si>
    <t>⑼</t>
    <phoneticPr fontId="7" type="noConversion"/>
  </si>
  <si>
    <t>⑽</t>
    <phoneticPr fontId="7" type="noConversion"/>
  </si>
  <si>
    <t>⑾</t>
    <phoneticPr fontId="7" type="noConversion"/>
  </si>
  <si>
    <t>⑿</t>
  </si>
  <si>
    <t>⒀</t>
  </si>
  <si>
    <t>⒁</t>
    <phoneticPr fontId="7" type="noConversion"/>
  </si>
  <si>
    <t>∪</t>
    <phoneticPr fontId="7" type="noConversion"/>
  </si>
  <si>
    <t>∩</t>
    <phoneticPr fontId="7" type="noConversion"/>
  </si>
  <si>
    <t>∧</t>
    <phoneticPr fontId="7" type="noConversion"/>
  </si>
  <si>
    <t>∨</t>
    <phoneticPr fontId="7" type="noConversion"/>
  </si>
  <si>
    <t>￢</t>
    <phoneticPr fontId="7" type="noConversion"/>
  </si>
  <si>
    <t>⇒</t>
    <phoneticPr fontId="7" type="noConversion"/>
  </si>
  <si>
    <t>⇔</t>
    <phoneticPr fontId="7" type="noConversion"/>
  </si>
  <si>
    <t>∀</t>
    <phoneticPr fontId="7" type="noConversion"/>
  </si>
  <si>
    <t>∃</t>
    <phoneticPr fontId="7" type="noConversion"/>
  </si>
  <si>
    <t>⒂</t>
    <phoneticPr fontId="7" type="noConversion"/>
  </si>
  <si>
    <t>∮</t>
    <phoneticPr fontId="7" type="noConversion"/>
  </si>
  <si>
    <t>∑</t>
    <phoneticPr fontId="7" type="noConversion"/>
  </si>
  <si>
    <t>∏</t>
    <phoneticPr fontId="7" type="noConversion"/>
  </si>
  <si>
    <t>ㅈ</t>
  </si>
  <si>
    <t>ㄹ</t>
  </si>
  <si>
    <t>＄</t>
    <phoneticPr fontId="7" type="noConversion"/>
  </si>
  <si>
    <t>％</t>
    <phoneticPr fontId="7" type="noConversion"/>
  </si>
  <si>
    <t>￦</t>
    <phoneticPr fontId="7" type="noConversion"/>
  </si>
  <si>
    <t>Ｆ</t>
    <phoneticPr fontId="7" type="noConversion"/>
  </si>
  <si>
    <t>′</t>
    <phoneticPr fontId="7" type="noConversion"/>
  </si>
  <si>
    <t>″</t>
    <phoneticPr fontId="7" type="noConversion"/>
  </si>
  <si>
    <t>℃</t>
    <phoneticPr fontId="7" type="noConversion"/>
  </si>
  <si>
    <t>Å</t>
    <phoneticPr fontId="7" type="noConversion"/>
  </si>
  <si>
    <t>￠</t>
    <phoneticPr fontId="7" type="noConversion"/>
  </si>
  <si>
    <t>ⅰ</t>
    <phoneticPr fontId="7" type="noConversion"/>
  </si>
  <si>
    <t>ⅱ</t>
    <phoneticPr fontId="7" type="noConversion"/>
  </si>
  <si>
    <t>ⅲ</t>
    <phoneticPr fontId="7" type="noConversion"/>
  </si>
  <si>
    <t>ⅳ</t>
    <phoneticPr fontId="7" type="noConversion"/>
  </si>
  <si>
    <t>ⅴ</t>
    <phoneticPr fontId="7" type="noConversion"/>
  </si>
  <si>
    <t>ⅵ</t>
    <phoneticPr fontId="7" type="noConversion"/>
  </si>
  <si>
    <t>ⅶ</t>
    <phoneticPr fontId="7" type="noConversion"/>
  </si>
  <si>
    <t>ⅷ</t>
    <phoneticPr fontId="7" type="noConversion"/>
  </si>
  <si>
    <t>￡</t>
    <phoneticPr fontId="7" type="noConversion"/>
  </si>
  <si>
    <t>￥</t>
    <phoneticPr fontId="7" type="noConversion"/>
  </si>
  <si>
    <t>¤</t>
    <phoneticPr fontId="7" type="noConversion"/>
  </si>
  <si>
    <t>℉</t>
    <phoneticPr fontId="7" type="noConversion"/>
  </si>
  <si>
    <t>‰</t>
    <phoneticPr fontId="7" type="noConversion"/>
  </si>
  <si>
    <t>㎕</t>
    <phoneticPr fontId="7" type="noConversion"/>
  </si>
  <si>
    <t>㎖</t>
    <phoneticPr fontId="7" type="noConversion"/>
  </si>
  <si>
    <t>㎗</t>
    <phoneticPr fontId="7" type="noConversion"/>
  </si>
  <si>
    <t>ℓ</t>
    <phoneticPr fontId="7" type="noConversion"/>
  </si>
  <si>
    <t>ⅸ</t>
    <phoneticPr fontId="7" type="noConversion"/>
  </si>
  <si>
    <t>ⅹ</t>
    <phoneticPr fontId="7" type="noConversion"/>
  </si>
  <si>
    <t>Ⅰ</t>
    <phoneticPr fontId="7" type="noConversion"/>
  </si>
  <si>
    <t>Ⅱ</t>
    <phoneticPr fontId="7" type="noConversion"/>
  </si>
  <si>
    <t>Ⅲ</t>
    <phoneticPr fontId="7" type="noConversion"/>
  </si>
  <si>
    <t>Ⅳ</t>
    <phoneticPr fontId="7" type="noConversion"/>
  </si>
  <si>
    <t>Ⅴ</t>
    <phoneticPr fontId="7" type="noConversion"/>
  </si>
  <si>
    <t>Ⅵ</t>
    <phoneticPr fontId="7" type="noConversion"/>
  </si>
  <si>
    <t>Ⅶ</t>
    <phoneticPr fontId="7" type="noConversion"/>
  </si>
  <si>
    <t>㎘</t>
    <phoneticPr fontId="7" type="noConversion"/>
  </si>
  <si>
    <t>㏄</t>
    <phoneticPr fontId="7" type="noConversion"/>
  </si>
  <si>
    <t>㎣</t>
    <phoneticPr fontId="7" type="noConversion"/>
  </si>
  <si>
    <t>㎤</t>
    <phoneticPr fontId="7" type="noConversion"/>
  </si>
  <si>
    <t>㎥</t>
    <phoneticPr fontId="7" type="noConversion"/>
  </si>
  <si>
    <t>㎦</t>
    <phoneticPr fontId="7" type="noConversion"/>
  </si>
  <si>
    <t>㎙</t>
    <phoneticPr fontId="7" type="noConversion"/>
  </si>
  <si>
    <t>㎚</t>
    <phoneticPr fontId="7" type="noConversion"/>
  </si>
  <si>
    <t>㎛</t>
    <phoneticPr fontId="7" type="noConversion"/>
  </si>
  <si>
    <t>Ⅷ</t>
    <phoneticPr fontId="7" type="noConversion"/>
  </si>
  <si>
    <t>Ⅸ</t>
    <phoneticPr fontId="7" type="noConversion"/>
  </si>
  <si>
    <t>Ⅹ</t>
    <phoneticPr fontId="7" type="noConversion"/>
  </si>
  <si>
    <t>㎜</t>
    <phoneticPr fontId="7" type="noConversion"/>
  </si>
  <si>
    <t>㎝</t>
    <phoneticPr fontId="7" type="noConversion"/>
  </si>
  <si>
    <t>㎞</t>
    <phoneticPr fontId="7" type="noConversion"/>
  </si>
  <si>
    <t>㎟</t>
    <phoneticPr fontId="7" type="noConversion"/>
  </si>
  <si>
    <t>㎠</t>
    <phoneticPr fontId="7" type="noConversion"/>
  </si>
  <si>
    <t>㎡</t>
    <phoneticPr fontId="7" type="noConversion"/>
  </si>
  <si>
    <t>㎢</t>
    <phoneticPr fontId="7" type="noConversion"/>
  </si>
  <si>
    <t>㏊</t>
    <phoneticPr fontId="7" type="noConversion"/>
  </si>
  <si>
    <t>㎍</t>
    <phoneticPr fontId="7" type="noConversion"/>
  </si>
  <si>
    <t>ㅊ</t>
  </si>
  <si>
    <t>½</t>
    <phoneticPr fontId="7" type="noConversion"/>
  </si>
  <si>
    <t>⅔</t>
    <phoneticPr fontId="7" type="noConversion"/>
  </si>
  <si>
    <t>¼</t>
    <phoneticPr fontId="7" type="noConversion"/>
  </si>
  <si>
    <t>¾</t>
    <phoneticPr fontId="7" type="noConversion"/>
  </si>
  <si>
    <t>⅛</t>
    <phoneticPr fontId="7" type="noConversion"/>
  </si>
  <si>
    <t>⅜</t>
    <phoneticPr fontId="7" type="noConversion"/>
  </si>
  <si>
    <t>⅝</t>
    <phoneticPr fontId="7" type="noConversion"/>
  </si>
  <si>
    <t>⅞</t>
    <phoneticPr fontId="7" type="noConversion"/>
  </si>
  <si>
    <t>㎎</t>
    <phoneticPr fontId="7" type="noConversion"/>
  </si>
  <si>
    <t>㎏</t>
    <phoneticPr fontId="7" type="noConversion"/>
  </si>
  <si>
    <t>㏏</t>
    <phoneticPr fontId="7" type="noConversion"/>
  </si>
  <si>
    <t>㎈</t>
    <phoneticPr fontId="7" type="noConversion"/>
  </si>
  <si>
    <t>㎉</t>
    <phoneticPr fontId="7" type="noConversion"/>
  </si>
  <si>
    <t>㏈</t>
    <phoneticPr fontId="7" type="noConversion"/>
  </si>
  <si>
    <t>㎧</t>
    <phoneticPr fontId="7" type="noConversion"/>
  </si>
  <si>
    <t>㎨</t>
    <phoneticPr fontId="7" type="noConversion"/>
  </si>
  <si>
    <t>㎰</t>
    <phoneticPr fontId="7" type="noConversion"/>
  </si>
  <si>
    <t>¹</t>
    <phoneticPr fontId="7" type="noConversion"/>
  </si>
  <si>
    <t>²</t>
    <phoneticPr fontId="7" type="noConversion"/>
  </si>
  <si>
    <t>³</t>
    <phoneticPr fontId="7" type="noConversion"/>
  </si>
  <si>
    <t>⁴</t>
    <phoneticPr fontId="7" type="noConversion"/>
  </si>
  <si>
    <t>ⁿ</t>
    <phoneticPr fontId="7" type="noConversion"/>
  </si>
  <si>
    <t>₁</t>
    <phoneticPr fontId="7" type="noConversion"/>
  </si>
  <si>
    <t>₂</t>
    <phoneticPr fontId="7" type="noConversion"/>
  </si>
  <si>
    <t>₃</t>
    <phoneticPr fontId="7" type="noConversion"/>
  </si>
  <si>
    <t>₄</t>
    <phoneticPr fontId="7" type="noConversion"/>
  </si>
  <si>
    <t>㎱</t>
    <phoneticPr fontId="7" type="noConversion"/>
  </si>
  <si>
    <t>㎳</t>
    <phoneticPr fontId="7" type="noConversion"/>
  </si>
  <si>
    <t>㎴</t>
    <phoneticPr fontId="7" type="noConversion"/>
  </si>
  <si>
    <t>㎵</t>
    <phoneticPr fontId="7" type="noConversion"/>
  </si>
  <si>
    <t>㎶</t>
    <phoneticPr fontId="7" type="noConversion"/>
  </si>
  <si>
    <t>㎷</t>
    <phoneticPr fontId="7" type="noConversion"/>
  </si>
  <si>
    <t>㎸</t>
    <phoneticPr fontId="7" type="noConversion"/>
  </si>
  <si>
    <t>㎹</t>
    <phoneticPr fontId="7" type="noConversion"/>
  </si>
  <si>
    <t>㎀</t>
    <phoneticPr fontId="7" type="noConversion"/>
  </si>
  <si>
    <t>ㅋ</t>
  </si>
  <si>
    <t>ㄱ</t>
    <phoneticPr fontId="7" type="noConversion"/>
  </si>
  <si>
    <t>ㄲ</t>
    <phoneticPr fontId="7" type="noConversion"/>
  </si>
  <si>
    <t>ㄳ</t>
    <phoneticPr fontId="7" type="noConversion"/>
  </si>
  <si>
    <t>ㄴ</t>
    <phoneticPr fontId="7" type="noConversion"/>
  </si>
  <si>
    <t>ㄵ</t>
    <phoneticPr fontId="7" type="noConversion"/>
  </si>
  <si>
    <t>ㄶ</t>
    <phoneticPr fontId="7" type="noConversion"/>
  </si>
  <si>
    <t>ㄷ</t>
    <phoneticPr fontId="7" type="noConversion"/>
  </si>
  <si>
    <t>ㄸ</t>
    <phoneticPr fontId="7" type="noConversion"/>
  </si>
  <si>
    <t>ㄹ</t>
    <phoneticPr fontId="7" type="noConversion"/>
  </si>
  <si>
    <t>㎁</t>
    <phoneticPr fontId="7" type="noConversion"/>
  </si>
  <si>
    <t>㎂</t>
    <phoneticPr fontId="7" type="noConversion"/>
  </si>
  <si>
    <t>㎃</t>
    <phoneticPr fontId="7" type="noConversion"/>
  </si>
  <si>
    <t>㎄</t>
    <phoneticPr fontId="7" type="noConversion"/>
  </si>
  <si>
    <t>㎺</t>
    <phoneticPr fontId="7" type="noConversion"/>
  </si>
  <si>
    <t>㎻</t>
    <phoneticPr fontId="7" type="noConversion"/>
  </si>
  <si>
    <t>㎼</t>
    <phoneticPr fontId="7" type="noConversion"/>
  </si>
  <si>
    <t>㎽</t>
    <phoneticPr fontId="7" type="noConversion"/>
  </si>
  <si>
    <t>㎾</t>
    <phoneticPr fontId="7" type="noConversion"/>
  </si>
  <si>
    <t>ㄺ</t>
    <phoneticPr fontId="7" type="noConversion"/>
  </si>
  <si>
    <t>ㄻ</t>
    <phoneticPr fontId="7" type="noConversion"/>
  </si>
  <si>
    <t>ㄼ</t>
    <phoneticPr fontId="7" type="noConversion"/>
  </si>
  <si>
    <t>ㄽ</t>
    <phoneticPr fontId="7" type="noConversion"/>
  </si>
  <si>
    <t>ㄾ</t>
    <phoneticPr fontId="7" type="noConversion"/>
  </si>
  <si>
    <t>ㄿ</t>
    <phoneticPr fontId="7" type="noConversion"/>
  </si>
  <si>
    <t>ㅀ</t>
    <phoneticPr fontId="7" type="noConversion"/>
  </si>
  <si>
    <t>ㅁ</t>
    <phoneticPr fontId="7" type="noConversion"/>
  </si>
  <si>
    <t>ㅂ</t>
    <phoneticPr fontId="7" type="noConversion"/>
  </si>
  <si>
    <t>㎿</t>
    <phoneticPr fontId="7" type="noConversion"/>
  </si>
  <si>
    <t>㎐</t>
    <phoneticPr fontId="7" type="noConversion"/>
  </si>
  <si>
    <t>㎑</t>
    <phoneticPr fontId="7" type="noConversion"/>
  </si>
  <si>
    <t>㎒</t>
    <phoneticPr fontId="7" type="noConversion"/>
  </si>
  <si>
    <t>㎓</t>
    <phoneticPr fontId="7" type="noConversion"/>
  </si>
  <si>
    <t>㎔</t>
    <phoneticPr fontId="7" type="noConversion"/>
  </si>
  <si>
    <t>Ω</t>
    <phoneticPr fontId="7" type="noConversion"/>
  </si>
  <si>
    <t>㏀</t>
    <phoneticPr fontId="7" type="noConversion"/>
  </si>
  <si>
    <t>㏁</t>
    <phoneticPr fontId="7" type="noConversion"/>
  </si>
  <si>
    <t>ㅃ</t>
    <phoneticPr fontId="7" type="noConversion"/>
  </si>
  <si>
    <t>ㅄ</t>
    <phoneticPr fontId="7" type="noConversion"/>
  </si>
  <si>
    <t>ㅅ</t>
    <phoneticPr fontId="7" type="noConversion"/>
  </si>
  <si>
    <t>ㅆ</t>
    <phoneticPr fontId="7" type="noConversion"/>
  </si>
  <si>
    <t>ㅇ</t>
    <phoneticPr fontId="7" type="noConversion"/>
  </si>
  <si>
    <t>ㅈ</t>
    <phoneticPr fontId="7" type="noConversion"/>
  </si>
  <si>
    <t>ㅉ</t>
    <phoneticPr fontId="7" type="noConversion"/>
  </si>
  <si>
    <t>ㅊ</t>
    <phoneticPr fontId="7" type="noConversion"/>
  </si>
  <si>
    <t>ㅋ</t>
    <phoneticPr fontId="7" type="noConversion"/>
  </si>
  <si>
    <t>㎊</t>
    <phoneticPr fontId="7" type="noConversion"/>
  </si>
  <si>
    <t>㎋</t>
    <phoneticPr fontId="7" type="noConversion"/>
  </si>
  <si>
    <t>㎌</t>
    <phoneticPr fontId="7" type="noConversion"/>
  </si>
  <si>
    <t>㏖</t>
    <phoneticPr fontId="7" type="noConversion"/>
  </si>
  <si>
    <t>㏅</t>
    <phoneticPr fontId="7" type="noConversion"/>
  </si>
  <si>
    <t>㎭</t>
    <phoneticPr fontId="7" type="noConversion"/>
  </si>
  <si>
    <t>㎮</t>
    <phoneticPr fontId="7" type="noConversion"/>
  </si>
  <si>
    <t>㎯</t>
    <phoneticPr fontId="7" type="noConversion"/>
  </si>
  <si>
    <t>ㅌ</t>
    <phoneticPr fontId="7" type="noConversion"/>
  </si>
  <si>
    <t>ㅍ</t>
    <phoneticPr fontId="7" type="noConversion"/>
  </si>
  <si>
    <t>ㅎ</t>
    <phoneticPr fontId="7" type="noConversion"/>
  </si>
  <si>
    <t>ㅏ</t>
    <phoneticPr fontId="7" type="noConversion"/>
  </si>
  <si>
    <t>ㅐ</t>
    <phoneticPr fontId="7" type="noConversion"/>
  </si>
  <si>
    <t>ㅑ</t>
    <phoneticPr fontId="7" type="noConversion"/>
  </si>
  <si>
    <t>ㅒ</t>
    <phoneticPr fontId="7" type="noConversion"/>
  </si>
  <si>
    <t>ㅓ</t>
    <phoneticPr fontId="7" type="noConversion"/>
  </si>
  <si>
    <t>ㅔ</t>
    <phoneticPr fontId="7" type="noConversion"/>
  </si>
  <si>
    <t>㏛</t>
    <phoneticPr fontId="7" type="noConversion"/>
  </si>
  <si>
    <t>㎩</t>
    <phoneticPr fontId="7" type="noConversion"/>
  </si>
  <si>
    <t>㎪</t>
    <phoneticPr fontId="7" type="noConversion"/>
  </si>
  <si>
    <t>㎫</t>
    <phoneticPr fontId="7" type="noConversion"/>
  </si>
  <si>
    <t>㎬</t>
    <phoneticPr fontId="7" type="noConversion"/>
  </si>
  <si>
    <t>㏝</t>
    <phoneticPr fontId="7" type="noConversion"/>
  </si>
  <si>
    <t>㏐</t>
    <phoneticPr fontId="7" type="noConversion"/>
  </si>
  <si>
    <t>㏓</t>
    <phoneticPr fontId="7" type="noConversion"/>
  </si>
  <si>
    <t>㏃</t>
    <phoneticPr fontId="7" type="noConversion"/>
  </si>
  <si>
    <t>ㅕ</t>
    <phoneticPr fontId="7" type="noConversion"/>
  </si>
  <si>
    <t>ㅖ</t>
    <phoneticPr fontId="7" type="noConversion"/>
  </si>
  <si>
    <t>ㅗ</t>
    <phoneticPr fontId="7" type="noConversion"/>
  </si>
  <si>
    <t>ㅘ</t>
    <phoneticPr fontId="7" type="noConversion"/>
  </si>
  <si>
    <t>ㅙ</t>
    <phoneticPr fontId="7" type="noConversion"/>
  </si>
  <si>
    <t>ㅚ</t>
    <phoneticPr fontId="7" type="noConversion"/>
  </si>
  <si>
    <t>ㅛ</t>
    <phoneticPr fontId="7" type="noConversion"/>
  </si>
  <si>
    <t>ㅜ</t>
    <phoneticPr fontId="7" type="noConversion"/>
  </si>
  <si>
    <t>ㅝ</t>
    <phoneticPr fontId="7" type="noConversion"/>
  </si>
  <si>
    <t>㏉</t>
    <phoneticPr fontId="7" type="noConversion"/>
  </si>
  <si>
    <t>㏜</t>
    <phoneticPr fontId="7" type="noConversion"/>
  </si>
  <si>
    <t>㏆</t>
    <phoneticPr fontId="7" type="noConversion"/>
  </si>
  <si>
    <t>ㅞ</t>
    <phoneticPr fontId="7" type="noConversion"/>
  </si>
  <si>
    <t>ㅟ</t>
    <phoneticPr fontId="7" type="noConversion"/>
  </si>
  <si>
    <t>ㅠ</t>
    <phoneticPr fontId="7" type="noConversion"/>
  </si>
  <si>
    <t>ㅡ</t>
    <phoneticPr fontId="7" type="noConversion"/>
  </si>
  <si>
    <t>ㅢ</t>
    <phoneticPr fontId="7" type="noConversion"/>
  </si>
  <si>
    <t>ㅣ</t>
    <phoneticPr fontId="7" type="noConversion"/>
  </si>
  <si>
    <t>ㅁ</t>
  </si>
  <si>
    <t>＃</t>
    <phoneticPr fontId="7" type="noConversion"/>
  </si>
  <si>
    <t>＆</t>
    <phoneticPr fontId="7" type="noConversion"/>
  </si>
  <si>
    <t>＊</t>
    <phoneticPr fontId="7" type="noConversion"/>
  </si>
  <si>
    <t>＠</t>
    <phoneticPr fontId="7" type="noConversion"/>
  </si>
  <si>
    <t>§</t>
    <phoneticPr fontId="7" type="noConversion"/>
  </si>
  <si>
    <t>※</t>
    <phoneticPr fontId="7" type="noConversion"/>
  </si>
  <si>
    <t>☆</t>
    <phoneticPr fontId="7" type="noConversion"/>
  </si>
  <si>
    <t>★</t>
    <phoneticPr fontId="7" type="noConversion"/>
  </si>
  <si>
    <t>○</t>
    <phoneticPr fontId="7" type="noConversion"/>
  </si>
  <si>
    <t>ㅌ</t>
  </si>
  <si>
    <t>ㅥ</t>
    <phoneticPr fontId="7" type="noConversion"/>
  </si>
  <si>
    <t>ㅦ</t>
    <phoneticPr fontId="7" type="noConversion"/>
  </si>
  <si>
    <t>ㅧ</t>
    <phoneticPr fontId="7" type="noConversion"/>
  </si>
  <si>
    <t>ㅨ</t>
    <phoneticPr fontId="7" type="noConversion"/>
  </si>
  <si>
    <t>ㅩ</t>
    <phoneticPr fontId="7" type="noConversion"/>
  </si>
  <si>
    <t>ㅪ</t>
    <phoneticPr fontId="7" type="noConversion"/>
  </si>
  <si>
    <t>ㅫ</t>
    <phoneticPr fontId="7" type="noConversion"/>
  </si>
  <si>
    <t>ㅬ</t>
    <phoneticPr fontId="7" type="noConversion"/>
  </si>
  <si>
    <t>ㅭ</t>
    <phoneticPr fontId="7" type="noConversion"/>
  </si>
  <si>
    <t>●</t>
    <phoneticPr fontId="7" type="noConversion"/>
  </si>
  <si>
    <t>◎</t>
    <phoneticPr fontId="7" type="noConversion"/>
  </si>
  <si>
    <t>◇</t>
    <phoneticPr fontId="7" type="noConversion"/>
  </si>
  <si>
    <t>◆</t>
    <phoneticPr fontId="7" type="noConversion"/>
  </si>
  <si>
    <t>□</t>
    <phoneticPr fontId="7" type="noConversion"/>
  </si>
  <si>
    <t>■</t>
    <phoneticPr fontId="7" type="noConversion"/>
  </si>
  <si>
    <t>△</t>
    <phoneticPr fontId="7" type="noConversion"/>
  </si>
  <si>
    <t>▲</t>
    <phoneticPr fontId="7" type="noConversion"/>
  </si>
  <si>
    <t>▽</t>
    <phoneticPr fontId="7" type="noConversion"/>
  </si>
  <si>
    <t>ㅮ</t>
    <phoneticPr fontId="7" type="noConversion"/>
  </si>
  <si>
    <t>ㅯ</t>
    <phoneticPr fontId="7" type="noConversion"/>
  </si>
  <si>
    <t>ㅰ</t>
    <phoneticPr fontId="7" type="noConversion"/>
  </si>
  <si>
    <t>ㅱ</t>
    <phoneticPr fontId="7" type="noConversion"/>
  </si>
  <si>
    <t>ㅲ</t>
    <phoneticPr fontId="7" type="noConversion"/>
  </si>
  <si>
    <t>ㅳ</t>
    <phoneticPr fontId="7" type="noConversion"/>
  </si>
  <si>
    <t>ㅴ</t>
    <phoneticPr fontId="7" type="noConversion"/>
  </si>
  <si>
    <t>ㅵ</t>
    <phoneticPr fontId="7" type="noConversion"/>
  </si>
  <si>
    <t>ㅶ</t>
    <phoneticPr fontId="7" type="noConversion"/>
  </si>
  <si>
    <t>▼</t>
    <phoneticPr fontId="7" type="noConversion"/>
  </si>
  <si>
    <t>→</t>
    <phoneticPr fontId="7" type="noConversion"/>
  </si>
  <si>
    <t>←</t>
    <phoneticPr fontId="7" type="noConversion"/>
  </si>
  <si>
    <t>↑</t>
    <phoneticPr fontId="7" type="noConversion"/>
  </si>
  <si>
    <t>↓</t>
    <phoneticPr fontId="7" type="noConversion"/>
  </si>
  <si>
    <t>↔</t>
    <phoneticPr fontId="7" type="noConversion"/>
  </si>
  <si>
    <t>〓</t>
    <phoneticPr fontId="7" type="noConversion"/>
  </si>
  <si>
    <t>◁</t>
    <phoneticPr fontId="7" type="noConversion"/>
  </si>
  <si>
    <t>◀</t>
    <phoneticPr fontId="7" type="noConversion"/>
  </si>
  <si>
    <t>ㅷ</t>
    <phoneticPr fontId="7" type="noConversion"/>
  </si>
  <si>
    <t>ㅸ</t>
    <phoneticPr fontId="7" type="noConversion"/>
  </si>
  <si>
    <t>ㅹ</t>
    <phoneticPr fontId="7" type="noConversion"/>
  </si>
  <si>
    <t>ㅺ</t>
    <phoneticPr fontId="7" type="noConversion"/>
  </si>
  <si>
    <t>ㅻ</t>
    <phoneticPr fontId="7" type="noConversion"/>
  </si>
  <si>
    <t>ㅼ</t>
    <phoneticPr fontId="7" type="noConversion"/>
  </si>
  <si>
    <t>ㅽ</t>
    <phoneticPr fontId="7" type="noConversion"/>
  </si>
  <si>
    <t>ㅾ</t>
    <phoneticPr fontId="7" type="noConversion"/>
  </si>
  <si>
    <t>ㅿ</t>
    <phoneticPr fontId="7" type="noConversion"/>
  </si>
  <si>
    <t>▷</t>
    <phoneticPr fontId="7" type="noConversion"/>
  </si>
  <si>
    <t>▶</t>
    <phoneticPr fontId="7" type="noConversion"/>
  </si>
  <si>
    <t>♤</t>
    <phoneticPr fontId="7" type="noConversion"/>
  </si>
  <si>
    <t>♠</t>
    <phoneticPr fontId="7" type="noConversion"/>
  </si>
  <si>
    <t>♡</t>
    <phoneticPr fontId="7" type="noConversion"/>
  </si>
  <si>
    <t>♥</t>
    <phoneticPr fontId="7" type="noConversion"/>
  </si>
  <si>
    <t>♧</t>
    <phoneticPr fontId="7" type="noConversion"/>
  </si>
  <si>
    <t>♣</t>
    <phoneticPr fontId="7" type="noConversion"/>
  </si>
  <si>
    <t>⊙</t>
    <phoneticPr fontId="7" type="noConversion"/>
  </si>
  <si>
    <t>ㆀ</t>
    <phoneticPr fontId="7" type="noConversion"/>
  </si>
  <si>
    <t>ㆁ</t>
    <phoneticPr fontId="7" type="noConversion"/>
  </si>
  <si>
    <t>ㆂ</t>
    <phoneticPr fontId="7" type="noConversion"/>
  </si>
  <si>
    <t>ㆃ</t>
    <phoneticPr fontId="7" type="noConversion"/>
  </si>
  <si>
    <t>ㆄ</t>
    <phoneticPr fontId="7" type="noConversion"/>
  </si>
  <si>
    <t>ㆅ</t>
    <phoneticPr fontId="7" type="noConversion"/>
  </si>
  <si>
    <t>ㆆ</t>
    <phoneticPr fontId="7" type="noConversion"/>
  </si>
  <si>
    <t>ㆇ</t>
    <phoneticPr fontId="7" type="noConversion"/>
  </si>
  <si>
    <t>ㆈ</t>
    <phoneticPr fontId="7" type="noConversion"/>
  </si>
  <si>
    <t>◈</t>
    <phoneticPr fontId="7" type="noConversion"/>
  </si>
  <si>
    <t>▣</t>
    <phoneticPr fontId="7" type="noConversion"/>
  </si>
  <si>
    <t>◐</t>
    <phoneticPr fontId="7" type="noConversion"/>
  </si>
  <si>
    <t>◑</t>
    <phoneticPr fontId="7" type="noConversion"/>
  </si>
  <si>
    <t>▒</t>
    <phoneticPr fontId="7" type="noConversion"/>
  </si>
  <si>
    <t>▤</t>
    <phoneticPr fontId="7" type="noConversion"/>
  </si>
  <si>
    <t>▥</t>
    <phoneticPr fontId="7" type="noConversion"/>
  </si>
  <si>
    <t>▨</t>
    <phoneticPr fontId="7" type="noConversion"/>
  </si>
  <si>
    <t>▧</t>
    <phoneticPr fontId="7" type="noConversion"/>
  </si>
  <si>
    <t>ㆉ</t>
    <phoneticPr fontId="7" type="noConversion"/>
  </si>
  <si>
    <t>ㆊ</t>
    <phoneticPr fontId="7" type="noConversion"/>
  </si>
  <si>
    <t>ㆋ</t>
    <phoneticPr fontId="7" type="noConversion"/>
  </si>
  <si>
    <t>ㆌ</t>
    <phoneticPr fontId="7" type="noConversion"/>
  </si>
  <si>
    <t>ㆍ</t>
    <phoneticPr fontId="7" type="noConversion"/>
  </si>
  <si>
    <t>ㆎ</t>
    <phoneticPr fontId="7" type="noConversion"/>
  </si>
  <si>
    <t>▦</t>
    <phoneticPr fontId="7" type="noConversion"/>
  </si>
  <si>
    <t>▩</t>
    <phoneticPr fontId="7" type="noConversion"/>
  </si>
  <si>
    <t>♨</t>
    <phoneticPr fontId="7" type="noConversion"/>
  </si>
  <si>
    <t>☏</t>
    <phoneticPr fontId="7" type="noConversion"/>
  </si>
  <si>
    <t>☎</t>
    <phoneticPr fontId="7" type="noConversion"/>
  </si>
  <si>
    <t>☜</t>
    <phoneticPr fontId="7" type="noConversion"/>
  </si>
  <si>
    <t>☞</t>
    <phoneticPr fontId="7" type="noConversion"/>
  </si>
  <si>
    <t>¶</t>
    <phoneticPr fontId="7" type="noConversion"/>
  </si>
  <si>
    <t>†</t>
    <phoneticPr fontId="7" type="noConversion"/>
  </si>
  <si>
    <t>ㅍ</t>
  </si>
  <si>
    <t>Ａ</t>
    <phoneticPr fontId="7" type="noConversion"/>
  </si>
  <si>
    <t>Ｂ</t>
    <phoneticPr fontId="7" type="noConversion"/>
  </si>
  <si>
    <t>Ｃ</t>
    <phoneticPr fontId="7" type="noConversion"/>
  </si>
  <si>
    <t>Ｄ</t>
    <phoneticPr fontId="7" type="noConversion"/>
  </si>
  <si>
    <t>Ｅ</t>
    <phoneticPr fontId="7" type="noConversion"/>
  </si>
  <si>
    <t>Ｇ</t>
    <phoneticPr fontId="7" type="noConversion"/>
  </si>
  <si>
    <t>Ｈ</t>
    <phoneticPr fontId="7" type="noConversion"/>
  </si>
  <si>
    <t>Ｉ</t>
    <phoneticPr fontId="7" type="noConversion"/>
  </si>
  <si>
    <t>‡</t>
    <phoneticPr fontId="7" type="noConversion"/>
  </si>
  <si>
    <t>↕</t>
    <phoneticPr fontId="7" type="noConversion"/>
  </si>
  <si>
    <t>↗</t>
    <phoneticPr fontId="7" type="noConversion"/>
  </si>
  <si>
    <t>↙</t>
    <phoneticPr fontId="7" type="noConversion"/>
  </si>
  <si>
    <t>↖</t>
    <phoneticPr fontId="7" type="noConversion"/>
  </si>
  <si>
    <t>↘</t>
    <phoneticPr fontId="7" type="noConversion"/>
  </si>
  <si>
    <t>♭</t>
    <phoneticPr fontId="7" type="noConversion"/>
  </si>
  <si>
    <t>♩</t>
    <phoneticPr fontId="7" type="noConversion"/>
  </si>
  <si>
    <t>♪</t>
    <phoneticPr fontId="7" type="noConversion"/>
  </si>
  <si>
    <t>Ｊ</t>
    <phoneticPr fontId="7" type="noConversion"/>
  </si>
  <si>
    <t>Ｋ</t>
    <phoneticPr fontId="7" type="noConversion"/>
  </si>
  <si>
    <t>Ｌ</t>
    <phoneticPr fontId="7" type="noConversion"/>
  </si>
  <si>
    <t>Ｍ</t>
    <phoneticPr fontId="7" type="noConversion"/>
  </si>
  <si>
    <t>Ｎ</t>
    <phoneticPr fontId="7" type="noConversion"/>
  </si>
  <si>
    <t>Ｏ</t>
    <phoneticPr fontId="7" type="noConversion"/>
  </si>
  <si>
    <t>Ｐ</t>
    <phoneticPr fontId="7" type="noConversion"/>
  </si>
  <si>
    <t>Ｑ</t>
    <phoneticPr fontId="7" type="noConversion"/>
  </si>
  <si>
    <t>Ｒ</t>
    <phoneticPr fontId="7" type="noConversion"/>
  </si>
  <si>
    <t>♬</t>
    <phoneticPr fontId="7" type="noConversion"/>
  </si>
  <si>
    <t>㉿</t>
    <phoneticPr fontId="7" type="noConversion"/>
  </si>
  <si>
    <t>㈜</t>
    <phoneticPr fontId="7" type="noConversion"/>
  </si>
  <si>
    <t>№</t>
    <phoneticPr fontId="7" type="noConversion"/>
  </si>
  <si>
    <t>㏇</t>
    <phoneticPr fontId="7" type="noConversion"/>
  </si>
  <si>
    <t>™</t>
    <phoneticPr fontId="7" type="noConversion"/>
  </si>
  <si>
    <t>㏂</t>
    <phoneticPr fontId="7" type="noConversion"/>
  </si>
  <si>
    <t>㏘</t>
    <phoneticPr fontId="7" type="noConversion"/>
  </si>
  <si>
    <t>℡</t>
    <phoneticPr fontId="7" type="noConversion"/>
  </si>
  <si>
    <t>Ｓ</t>
    <phoneticPr fontId="7" type="noConversion"/>
  </si>
  <si>
    <t>Ｔ</t>
    <phoneticPr fontId="7" type="noConversion"/>
  </si>
  <si>
    <t>Ｕ</t>
    <phoneticPr fontId="7" type="noConversion"/>
  </si>
  <si>
    <t>Ｖ</t>
    <phoneticPr fontId="7" type="noConversion"/>
  </si>
  <si>
    <t>Ｗ</t>
    <phoneticPr fontId="7" type="noConversion"/>
  </si>
  <si>
    <t>Ｘ</t>
    <phoneticPr fontId="7" type="noConversion"/>
  </si>
  <si>
    <t>Ｙ</t>
    <phoneticPr fontId="7" type="noConversion"/>
  </si>
  <si>
    <t>Ｚ</t>
    <phoneticPr fontId="7" type="noConversion"/>
  </si>
  <si>
    <t>ａ</t>
    <phoneticPr fontId="7" type="noConversion"/>
  </si>
  <si>
    <t>ª</t>
    <phoneticPr fontId="7" type="noConversion"/>
  </si>
  <si>
    <t>º</t>
    <phoneticPr fontId="7" type="noConversion"/>
  </si>
  <si>
    <t>ｂ</t>
    <phoneticPr fontId="7" type="noConversion"/>
  </si>
  <si>
    <t>ｃ</t>
    <phoneticPr fontId="7" type="noConversion"/>
  </si>
  <si>
    <t>ｄ</t>
    <phoneticPr fontId="7" type="noConversion"/>
  </si>
  <si>
    <t>ｅ</t>
    <phoneticPr fontId="7" type="noConversion"/>
  </si>
  <si>
    <t>ｆ</t>
    <phoneticPr fontId="7" type="noConversion"/>
  </si>
  <si>
    <t>ｇ</t>
    <phoneticPr fontId="7" type="noConversion"/>
  </si>
  <si>
    <t>ｈ</t>
    <phoneticPr fontId="7" type="noConversion"/>
  </si>
  <si>
    <t>ｉ</t>
    <phoneticPr fontId="7" type="noConversion"/>
  </si>
  <si>
    <t>ｊ</t>
    <phoneticPr fontId="7" type="noConversion"/>
  </si>
  <si>
    <t>ㅂ</t>
  </si>
  <si>
    <t>─</t>
    <phoneticPr fontId="7" type="noConversion"/>
  </si>
  <si>
    <t>│</t>
    <phoneticPr fontId="7" type="noConversion"/>
  </si>
  <si>
    <t>┌</t>
    <phoneticPr fontId="7" type="noConversion"/>
  </si>
  <si>
    <t>┐</t>
    <phoneticPr fontId="7" type="noConversion"/>
  </si>
  <si>
    <t>┘</t>
    <phoneticPr fontId="7" type="noConversion"/>
  </si>
  <si>
    <t>└</t>
    <phoneticPr fontId="7" type="noConversion"/>
  </si>
  <si>
    <t>├</t>
    <phoneticPr fontId="7" type="noConversion"/>
  </si>
  <si>
    <t>┬</t>
    <phoneticPr fontId="7" type="noConversion"/>
  </si>
  <si>
    <t>┤</t>
    <phoneticPr fontId="7" type="noConversion"/>
  </si>
  <si>
    <t>ｋ</t>
    <phoneticPr fontId="7" type="noConversion"/>
  </si>
  <si>
    <t>ｌ</t>
    <phoneticPr fontId="7" type="noConversion"/>
  </si>
  <si>
    <t>ｍ</t>
    <phoneticPr fontId="7" type="noConversion"/>
  </si>
  <si>
    <t>ｎ</t>
    <phoneticPr fontId="7" type="noConversion"/>
  </si>
  <si>
    <t>ｏ</t>
    <phoneticPr fontId="7" type="noConversion"/>
  </si>
  <si>
    <t>ｐ</t>
    <phoneticPr fontId="7" type="noConversion"/>
  </si>
  <si>
    <t>ｑ</t>
    <phoneticPr fontId="7" type="noConversion"/>
  </si>
  <si>
    <t>ｒ</t>
    <phoneticPr fontId="7" type="noConversion"/>
  </si>
  <si>
    <t>ｓ</t>
    <phoneticPr fontId="7" type="noConversion"/>
  </si>
  <si>
    <t>┴</t>
    <phoneticPr fontId="7" type="noConversion"/>
  </si>
  <si>
    <t>┼</t>
    <phoneticPr fontId="7" type="noConversion"/>
  </si>
  <si>
    <t>━</t>
    <phoneticPr fontId="7" type="noConversion"/>
  </si>
  <si>
    <t>┃</t>
    <phoneticPr fontId="7" type="noConversion"/>
  </si>
  <si>
    <t>┏</t>
    <phoneticPr fontId="7" type="noConversion"/>
  </si>
  <si>
    <t>┓</t>
    <phoneticPr fontId="7" type="noConversion"/>
  </si>
  <si>
    <t>┛</t>
    <phoneticPr fontId="7" type="noConversion"/>
  </si>
  <si>
    <t>┗</t>
    <phoneticPr fontId="7" type="noConversion"/>
  </si>
  <si>
    <t>┣</t>
    <phoneticPr fontId="7" type="noConversion"/>
  </si>
  <si>
    <t>ｔ</t>
    <phoneticPr fontId="7" type="noConversion"/>
  </si>
  <si>
    <t>ｕ</t>
    <phoneticPr fontId="7" type="noConversion"/>
  </si>
  <si>
    <t>ｖ</t>
    <phoneticPr fontId="7" type="noConversion"/>
  </si>
  <si>
    <t>ｗ</t>
    <phoneticPr fontId="7" type="noConversion"/>
  </si>
  <si>
    <t>ｘ</t>
    <phoneticPr fontId="7" type="noConversion"/>
  </si>
  <si>
    <t>ｙ</t>
    <phoneticPr fontId="7" type="noConversion"/>
  </si>
  <si>
    <t>ｚ</t>
    <phoneticPr fontId="7" type="noConversion"/>
  </si>
  <si>
    <t>┳</t>
    <phoneticPr fontId="7" type="noConversion"/>
  </si>
  <si>
    <t>┫</t>
    <phoneticPr fontId="7" type="noConversion"/>
  </si>
  <si>
    <t>┻</t>
    <phoneticPr fontId="7" type="noConversion"/>
  </si>
  <si>
    <t>╋</t>
    <phoneticPr fontId="7" type="noConversion"/>
  </si>
  <si>
    <t>┠</t>
    <phoneticPr fontId="7" type="noConversion"/>
  </si>
  <si>
    <t>┯</t>
    <phoneticPr fontId="7" type="noConversion"/>
  </si>
  <si>
    <t>┨</t>
    <phoneticPr fontId="7" type="noConversion"/>
  </si>
  <si>
    <t>┷</t>
    <phoneticPr fontId="7" type="noConversion"/>
  </si>
  <si>
    <t>┿</t>
    <phoneticPr fontId="7" type="noConversion"/>
  </si>
  <si>
    <t>ㅎ</t>
  </si>
  <si>
    <t>Α</t>
    <phoneticPr fontId="7" type="noConversion"/>
  </si>
  <si>
    <t>Β</t>
    <phoneticPr fontId="7" type="noConversion"/>
  </si>
  <si>
    <t>Γ</t>
    <phoneticPr fontId="7" type="noConversion"/>
  </si>
  <si>
    <t>Δ</t>
    <phoneticPr fontId="7" type="noConversion"/>
  </si>
  <si>
    <t>Ε</t>
    <phoneticPr fontId="7" type="noConversion"/>
  </si>
  <si>
    <t>Ζ</t>
    <phoneticPr fontId="7" type="noConversion"/>
  </si>
  <si>
    <t>Η</t>
    <phoneticPr fontId="7" type="noConversion"/>
  </si>
  <si>
    <t>Θ</t>
    <phoneticPr fontId="7" type="noConversion"/>
  </si>
  <si>
    <t>Ι</t>
    <phoneticPr fontId="7" type="noConversion"/>
  </si>
  <si>
    <t>┝</t>
    <phoneticPr fontId="7" type="noConversion"/>
  </si>
  <si>
    <t>┰</t>
    <phoneticPr fontId="7" type="noConversion"/>
  </si>
  <si>
    <t>┥</t>
    <phoneticPr fontId="7" type="noConversion"/>
  </si>
  <si>
    <t>┸</t>
    <phoneticPr fontId="7" type="noConversion"/>
  </si>
  <si>
    <t>╂</t>
    <phoneticPr fontId="7" type="noConversion"/>
  </si>
  <si>
    <t>┒</t>
    <phoneticPr fontId="7" type="noConversion"/>
  </si>
  <si>
    <t>┑</t>
    <phoneticPr fontId="7" type="noConversion"/>
  </si>
  <si>
    <t>┚</t>
    <phoneticPr fontId="7" type="noConversion"/>
  </si>
  <si>
    <t>┙</t>
    <phoneticPr fontId="7" type="noConversion"/>
  </si>
  <si>
    <t>Κ</t>
    <phoneticPr fontId="7" type="noConversion"/>
  </si>
  <si>
    <t>Λ</t>
    <phoneticPr fontId="7" type="noConversion"/>
  </si>
  <si>
    <t>Μ</t>
    <phoneticPr fontId="7" type="noConversion"/>
  </si>
  <si>
    <t>Ν</t>
    <phoneticPr fontId="7" type="noConversion"/>
  </si>
  <si>
    <t>Ξ</t>
    <phoneticPr fontId="7" type="noConversion"/>
  </si>
  <si>
    <t>Ο</t>
    <phoneticPr fontId="7" type="noConversion"/>
  </si>
  <si>
    <t>Π</t>
    <phoneticPr fontId="7" type="noConversion"/>
  </si>
  <si>
    <t>Ρ</t>
    <phoneticPr fontId="7" type="noConversion"/>
  </si>
  <si>
    <t>Σ</t>
    <phoneticPr fontId="7" type="noConversion"/>
  </si>
  <si>
    <t>┖</t>
    <phoneticPr fontId="7" type="noConversion"/>
  </si>
  <si>
    <t>┕</t>
    <phoneticPr fontId="7" type="noConversion"/>
  </si>
  <si>
    <t>┎</t>
    <phoneticPr fontId="7" type="noConversion"/>
  </si>
  <si>
    <t>┍</t>
    <phoneticPr fontId="7" type="noConversion"/>
  </si>
  <si>
    <t>┞</t>
    <phoneticPr fontId="7" type="noConversion"/>
  </si>
  <si>
    <t>┟</t>
    <phoneticPr fontId="7" type="noConversion"/>
  </si>
  <si>
    <t>┡</t>
    <phoneticPr fontId="7" type="noConversion"/>
  </si>
  <si>
    <t>┢</t>
    <phoneticPr fontId="7" type="noConversion"/>
  </si>
  <si>
    <t>┦</t>
    <phoneticPr fontId="7" type="noConversion"/>
  </si>
  <si>
    <t>Τ</t>
    <phoneticPr fontId="7" type="noConversion"/>
  </si>
  <si>
    <t>Υ</t>
    <phoneticPr fontId="7" type="noConversion"/>
  </si>
  <si>
    <t>Φ</t>
    <phoneticPr fontId="7" type="noConversion"/>
  </si>
  <si>
    <t>Χ</t>
    <phoneticPr fontId="7" type="noConversion"/>
  </si>
  <si>
    <t>Ψ</t>
    <phoneticPr fontId="7" type="noConversion"/>
  </si>
  <si>
    <t>Ω</t>
    <phoneticPr fontId="7" type="noConversion"/>
  </si>
  <si>
    <t>α</t>
    <phoneticPr fontId="7" type="noConversion"/>
  </si>
  <si>
    <t>β</t>
    <phoneticPr fontId="7" type="noConversion"/>
  </si>
  <si>
    <t>γ</t>
    <phoneticPr fontId="7" type="noConversion"/>
  </si>
  <si>
    <t>┧</t>
    <phoneticPr fontId="7" type="noConversion"/>
  </si>
  <si>
    <t>┩</t>
    <phoneticPr fontId="7" type="noConversion"/>
  </si>
  <si>
    <t>┪</t>
    <phoneticPr fontId="7" type="noConversion"/>
  </si>
  <si>
    <t>┭</t>
    <phoneticPr fontId="7" type="noConversion"/>
  </si>
  <si>
    <t>┮</t>
    <phoneticPr fontId="7" type="noConversion"/>
  </si>
  <si>
    <t>┱</t>
    <phoneticPr fontId="7" type="noConversion"/>
  </si>
  <si>
    <t>┲</t>
    <phoneticPr fontId="7" type="noConversion"/>
  </si>
  <si>
    <t>┵</t>
    <phoneticPr fontId="7" type="noConversion"/>
  </si>
  <si>
    <t>┶</t>
    <phoneticPr fontId="7" type="noConversion"/>
  </si>
  <si>
    <t>δ</t>
    <phoneticPr fontId="7" type="noConversion"/>
  </si>
  <si>
    <t>ε</t>
    <phoneticPr fontId="7" type="noConversion"/>
  </si>
  <si>
    <t>ζ</t>
    <phoneticPr fontId="7" type="noConversion"/>
  </si>
  <si>
    <t>η</t>
    <phoneticPr fontId="7" type="noConversion"/>
  </si>
  <si>
    <t>θ</t>
    <phoneticPr fontId="7" type="noConversion"/>
  </si>
  <si>
    <t>ι</t>
    <phoneticPr fontId="7" type="noConversion"/>
  </si>
  <si>
    <t>κ</t>
    <phoneticPr fontId="7" type="noConversion"/>
  </si>
  <si>
    <t>λ</t>
    <phoneticPr fontId="7" type="noConversion"/>
  </si>
  <si>
    <t>μ</t>
    <phoneticPr fontId="7" type="noConversion"/>
  </si>
  <si>
    <t>┹</t>
    <phoneticPr fontId="7" type="noConversion"/>
  </si>
  <si>
    <t>┺</t>
    <phoneticPr fontId="7" type="noConversion"/>
  </si>
  <si>
    <t>┽</t>
    <phoneticPr fontId="7" type="noConversion"/>
  </si>
  <si>
    <t>┾</t>
    <phoneticPr fontId="7" type="noConversion"/>
  </si>
  <si>
    <t>╀</t>
    <phoneticPr fontId="7" type="noConversion"/>
  </si>
  <si>
    <t>╁</t>
    <phoneticPr fontId="7" type="noConversion"/>
  </si>
  <si>
    <t>╃</t>
    <phoneticPr fontId="7" type="noConversion"/>
  </si>
  <si>
    <t>╄</t>
    <phoneticPr fontId="7" type="noConversion"/>
  </si>
  <si>
    <t>╅</t>
    <phoneticPr fontId="7" type="noConversion"/>
  </si>
  <si>
    <t>ν</t>
    <phoneticPr fontId="7" type="noConversion"/>
  </si>
  <si>
    <t>ξ</t>
    <phoneticPr fontId="7" type="noConversion"/>
  </si>
  <si>
    <t>ο</t>
    <phoneticPr fontId="7" type="noConversion"/>
  </si>
  <si>
    <t>π</t>
    <phoneticPr fontId="7" type="noConversion"/>
  </si>
  <si>
    <t>ρ</t>
    <phoneticPr fontId="7" type="noConversion"/>
  </si>
  <si>
    <t>σ</t>
    <phoneticPr fontId="7" type="noConversion"/>
  </si>
  <si>
    <t>τ</t>
    <phoneticPr fontId="7" type="noConversion"/>
  </si>
  <si>
    <t>υ</t>
    <phoneticPr fontId="7" type="noConversion"/>
  </si>
  <si>
    <t>φ</t>
    <phoneticPr fontId="7" type="noConversion"/>
  </si>
  <si>
    <t>╆</t>
    <phoneticPr fontId="7" type="noConversion"/>
  </si>
  <si>
    <t>╇</t>
    <phoneticPr fontId="7" type="noConversion"/>
  </si>
  <si>
    <t>╈</t>
    <phoneticPr fontId="7" type="noConversion"/>
  </si>
  <si>
    <t>╉</t>
    <phoneticPr fontId="7" type="noConversion"/>
  </si>
  <si>
    <t>╊</t>
    <phoneticPr fontId="7" type="noConversion"/>
  </si>
  <si>
    <t>χ</t>
    <phoneticPr fontId="7" type="noConversion"/>
  </si>
  <si>
    <t>ψ</t>
    <phoneticPr fontId="7" type="noConversion"/>
  </si>
  <si>
    <t>ω</t>
    <phoneticPr fontId="7" type="noConversion"/>
  </si>
  <si>
    <r>
      <t>문자표</t>
    </r>
    <r>
      <rPr>
        <sz val="11"/>
        <rFont val="맑은 고딕"/>
        <family val="3"/>
        <charset val="129"/>
        <scheme val="minor"/>
      </rPr>
      <t>(자음+한자키)</t>
    </r>
    <phoneticPr fontId="7" type="noConversion"/>
  </si>
  <si>
    <t>바로 전에 작업한 내용을 재 실행(실행취소 반대 개념)</t>
    <phoneticPr fontId="2" type="noConversion"/>
  </si>
  <si>
    <t>자동 필터</t>
    <phoneticPr fontId="2" type="noConversion"/>
  </si>
  <si>
    <t>Ctrl + Shift + L</t>
    <phoneticPr fontId="2" type="noConversion"/>
  </si>
  <si>
    <t>Ctrl + E</t>
    <phoneticPr fontId="2" type="noConversion"/>
  </si>
  <si>
    <t>자동 채우기</t>
    <phoneticPr fontId="2" type="noConversion"/>
  </si>
  <si>
    <t>사용자 지정목록</t>
    <phoneticPr fontId="2" type="noConversion"/>
  </si>
  <si>
    <t>서울특별시</t>
    <phoneticPr fontId="2" type="noConversion"/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</si>
  <si>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</si>
  <si>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</si>
  <si>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</si>
  <si>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</si>
  <si>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</si>
  <si>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</si>
  <si>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</si>
  <si>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</si>
  <si>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</si>
  <si>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</si>
  <si>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</si>
  <si>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</si>
  <si>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</si>
  <si>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</si>
  <si>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</si>
  <si>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</si>
  <si>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번호</t>
    <phoneticPr fontId="2" type="noConversion"/>
  </si>
  <si>
    <t>성명</t>
    <phoneticPr fontId="2" type="noConversion"/>
  </si>
  <si>
    <t>주민등록번호</t>
    <phoneticPr fontId="21" type="noConversion"/>
  </si>
  <si>
    <t>주소</t>
    <phoneticPr fontId="21" type="noConversion"/>
  </si>
  <si>
    <t>연락처</t>
    <phoneticPr fontId="2" type="noConversion"/>
  </si>
  <si>
    <t>날짜</t>
    <phoneticPr fontId="2" type="noConversion"/>
  </si>
  <si>
    <t>이진가</t>
  </si>
  <si>
    <t>770101-1234567</t>
    <phoneticPr fontId="2" type="noConversion"/>
  </si>
  <si>
    <t>종로구</t>
  </si>
  <si>
    <t>효자동</t>
  </si>
  <si>
    <t>김빛나</t>
    <phoneticPr fontId="2" type="noConversion"/>
  </si>
  <si>
    <t>800517-1211185</t>
    <phoneticPr fontId="2" type="noConversion"/>
  </si>
  <si>
    <t>강동구</t>
  </si>
  <si>
    <t>명일동</t>
  </si>
  <si>
    <t>한문다</t>
  </si>
  <si>
    <t>771225-2025314</t>
    <phoneticPr fontId="2" type="noConversion"/>
  </si>
  <si>
    <t>강북구</t>
  </si>
  <si>
    <t>수유동</t>
  </si>
  <si>
    <t>김신라</t>
    <phoneticPr fontId="2" type="noConversion"/>
  </si>
  <si>
    <t>991215-2345789</t>
    <phoneticPr fontId="2" type="noConversion"/>
  </si>
  <si>
    <t>관악구</t>
  </si>
  <si>
    <t>미성동</t>
  </si>
  <si>
    <t>손루마</t>
  </si>
  <si>
    <t>730619-2002183</t>
  </si>
  <si>
    <t>서초구</t>
  </si>
  <si>
    <t>반포동</t>
  </si>
  <si>
    <t>정원바</t>
  </si>
  <si>
    <t>650310-1899292</t>
    <phoneticPr fontId="2" type="noConversion"/>
  </si>
  <si>
    <t>우이동</t>
  </si>
  <si>
    <t>서오사</t>
  </si>
  <si>
    <t>730314-2099612</t>
    <phoneticPr fontId="2" type="noConversion"/>
  </si>
  <si>
    <t>은평구</t>
  </si>
  <si>
    <t>증산동</t>
  </si>
  <si>
    <t>최모아</t>
  </si>
  <si>
    <t>801021-2211368</t>
    <phoneticPr fontId="2" type="noConversion"/>
  </si>
  <si>
    <t>성동구</t>
  </si>
  <si>
    <t>도선동</t>
  </si>
  <si>
    <t>문성자</t>
  </si>
  <si>
    <t>720309-2025315</t>
    <phoneticPr fontId="2" type="noConversion"/>
  </si>
  <si>
    <t>강서구</t>
  </si>
  <si>
    <t>개화동</t>
  </si>
  <si>
    <t>박린차</t>
  </si>
  <si>
    <t>700514-1832161</t>
    <phoneticPr fontId="2" type="noConversion"/>
  </si>
  <si>
    <t>금천구</t>
  </si>
  <si>
    <t>독산동</t>
  </si>
  <si>
    <t>장현카</t>
    <phoneticPr fontId="2" type="noConversion"/>
  </si>
  <si>
    <t>740813-2626712</t>
    <phoneticPr fontId="2" type="noConversion"/>
  </si>
  <si>
    <t>노원구</t>
  </si>
  <si>
    <t>하계동</t>
  </si>
  <si>
    <t>이민타</t>
  </si>
  <si>
    <t>670219-1814493</t>
    <phoneticPr fontId="2" type="noConversion"/>
  </si>
  <si>
    <t>동작구</t>
  </si>
  <si>
    <t>상도동</t>
  </si>
  <si>
    <t>윤슬파</t>
    <phoneticPr fontId="2" type="noConversion"/>
  </si>
  <si>
    <t>701016-1908008</t>
    <phoneticPr fontId="2" type="noConversion"/>
  </si>
  <si>
    <t>금천구</t>
    <phoneticPr fontId="2" type="noConversion"/>
  </si>
  <si>
    <t>시흥동</t>
    <phoneticPr fontId="2" type="noConversion"/>
  </si>
  <si>
    <t>김조하</t>
    <phoneticPr fontId="2" type="noConversion"/>
  </si>
  <si>
    <t>731117-2119323</t>
  </si>
  <si>
    <t>도봉구</t>
    <phoneticPr fontId="2" type="noConversion"/>
  </si>
  <si>
    <t>쌍문동</t>
    <phoneticPr fontId="2" type="noConversion"/>
  </si>
  <si>
    <t>정진호</t>
    <phoneticPr fontId="2" type="noConversion"/>
  </si>
  <si>
    <t>820218-2893813</t>
  </si>
  <si>
    <t>성동구</t>
    <phoneticPr fontId="2" type="noConversion"/>
  </si>
  <si>
    <t>성수동</t>
    <phoneticPr fontId="2" type="noConversion"/>
  </si>
  <si>
    <t>우한빛</t>
  </si>
  <si>
    <t>900205-1234578</t>
    <phoneticPr fontId="2" type="noConversion"/>
  </si>
  <si>
    <t>성북구</t>
    <phoneticPr fontId="2" type="noConversion"/>
  </si>
  <si>
    <t>성북동</t>
    <phoneticPr fontId="2" type="noConversion"/>
  </si>
  <si>
    <t>임보미</t>
  </si>
  <si>
    <t>600611-1112903</t>
    <phoneticPr fontId="2" type="noConversion"/>
  </si>
  <si>
    <t>송파구</t>
    <phoneticPr fontId="2" type="noConversion"/>
  </si>
  <si>
    <t>잠실동</t>
    <phoneticPr fontId="2" type="noConversion"/>
  </si>
  <si>
    <t>서하준</t>
  </si>
  <si>
    <t>800312-1256789</t>
    <phoneticPr fontId="2" type="noConversion"/>
  </si>
  <si>
    <t>구로구</t>
    <phoneticPr fontId="2" type="noConversion"/>
  </si>
  <si>
    <t>구로동</t>
    <phoneticPr fontId="2" type="noConversion"/>
  </si>
  <si>
    <t>신은수</t>
  </si>
  <si>
    <t>920619-2103178</t>
    <phoneticPr fontId="2" type="noConversion"/>
  </si>
  <si>
    <t>강동구</t>
    <phoneticPr fontId="2" type="noConversion"/>
  </si>
  <si>
    <t>천호동</t>
    <phoneticPr fontId="2" type="noConversion"/>
  </si>
  <si>
    <t>주겨울</t>
    <phoneticPr fontId="2" type="noConversion"/>
  </si>
  <si>
    <t>950716-1025314</t>
    <phoneticPr fontId="2" type="noConversion"/>
  </si>
  <si>
    <t>중랑구</t>
    <phoneticPr fontId="2" type="noConversion"/>
  </si>
  <si>
    <t>면목동</t>
    <phoneticPr fontId="2" type="noConversion"/>
  </si>
  <si>
    <t>이진*</t>
    <phoneticPr fontId="2" type="noConversion"/>
  </si>
  <si>
    <t>770101-*******</t>
    <phoneticPr fontId="2" type="noConversion"/>
  </si>
  <si>
    <t>종로구 효자동</t>
    <phoneticPr fontId="2" type="noConversion"/>
  </si>
  <si>
    <t>010-1234-5678</t>
    <phoneticPr fontId="2" type="noConversion"/>
  </si>
  <si>
    <t>1. 자동채우기</t>
    <phoneticPr fontId="16" type="noConversion"/>
  </si>
  <si>
    <t>호명</t>
  </si>
  <si>
    <t>21층</t>
    <phoneticPr fontId="2" type="noConversion"/>
  </si>
  <si>
    <t>호명</t>
    <phoneticPr fontId="2" type="noConversion"/>
  </si>
  <si>
    <t>지역1</t>
    <phoneticPr fontId="21" type="noConversion"/>
  </si>
  <si>
    <t>지역2</t>
    <phoneticPr fontId="21" type="noConversion"/>
  </si>
  <si>
    <t>Code</t>
  </si>
  <si>
    <t>004   50-   A00   15</t>
  </si>
  <si>
    <t>00350-   A0013</t>
  </si>
  <si>
    <t>00 340   -A0025</t>
  </si>
  <si>
    <t>00     450-     A00  49</t>
  </si>
  <si>
    <t>004   50-   A00   10</t>
  </si>
  <si>
    <t>00     450-     A00  48</t>
  </si>
  <si>
    <t xml:space="preserve">00350-   A0010 </t>
  </si>
  <si>
    <t>0   0350-    A0  020</t>
  </si>
  <si>
    <t>1  0  450-A   00  43</t>
  </si>
  <si>
    <t>0   0350-    A0  021</t>
  </si>
  <si>
    <t>004   50-A   00  44</t>
  </si>
  <si>
    <t>004  50-A00       42</t>
  </si>
  <si>
    <t>004    50-A00  51</t>
  </si>
  <si>
    <t>00450    -A00  41</t>
  </si>
  <si>
    <t>00450    -A00  52</t>
  </si>
  <si>
    <t>00 340   -A0021</t>
  </si>
  <si>
    <t>00    450-A   00  45</t>
  </si>
  <si>
    <t>004    50-A00  43</t>
  </si>
  <si>
    <t>1  0  450-A   00  47</t>
  </si>
  <si>
    <t>00450-A0015</t>
  </si>
  <si>
    <t>HP</t>
    <phoneticPr fontId="21" type="noConversion"/>
  </si>
  <si>
    <t>(010) 5218-9684</t>
  </si>
  <si>
    <t>010-2234-8765</t>
  </si>
  <si>
    <t>010-4321-4321</t>
  </si>
  <si>
    <t>(010) 5382-7003</t>
  </si>
  <si>
    <t>010-9876-9876</t>
  </si>
  <si>
    <t>010-0123-0987</t>
  </si>
  <si>
    <t>(010) 4186-7229</t>
  </si>
  <si>
    <t>(010)  1749-9520</t>
  </si>
  <si>
    <t>010-0123-0123</t>
  </si>
  <si>
    <t>010-6789-4321</t>
  </si>
  <si>
    <t>010-1234-4321</t>
  </si>
  <si>
    <t>010-1654-7654</t>
  </si>
  <si>
    <t>(010) 9009-1252</t>
  </si>
  <si>
    <r>
      <t xml:space="preserve">(010) </t>
    </r>
    <r>
      <rPr>
        <sz val="11"/>
        <color theme="1"/>
        <rFont val="맑은 고딕"/>
        <family val="2"/>
        <charset val="129"/>
        <scheme val="minor"/>
      </rPr>
      <t>8574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charset val="129"/>
        <scheme val="minor"/>
      </rPr>
      <t>9075</t>
    </r>
    <phoneticPr fontId="21" type="noConversion"/>
  </si>
  <si>
    <t>(010) 3210-1929</t>
  </si>
  <si>
    <t>(010) 6897-8571</t>
  </si>
  <si>
    <t>(010) 3708-1367</t>
  </si>
  <si>
    <t>(010)  1749-1234</t>
  </si>
  <si>
    <t>10-4763-1829</t>
    <phoneticPr fontId="2" type="noConversion"/>
  </si>
  <si>
    <t>010-1257-7778</t>
    <phoneticPr fontId="2" type="noConversion"/>
  </si>
  <si>
    <t>10-8550-2417</t>
    <phoneticPr fontId="2" type="noConversion"/>
  </si>
  <si>
    <t>010-5788-5978</t>
    <phoneticPr fontId="2" type="noConversion"/>
  </si>
  <si>
    <t>10-2734-1149</t>
    <phoneticPr fontId="2" type="noConversion"/>
  </si>
  <si>
    <t>10-9386-1248</t>
    <phoneticPr fontId="2" type="noConversion"/>
  </si>
  <si>
    <t>10-7028-4748</t>
    <phoneticPr fontId="2" type="noConversion"/>
  </si>
  <si>
    <t>10-3556-5418</t>
    <phoneticPr fontId="2" type="noConversion"/>
  </si>
  <si>
    <t>10-5877-5217</t>
    <phoneticPr fontId="2" type="noConversion"/>
  </si>
  <si>
    <t>010-4078-2964</t>
    <phoneticPr fontId="2" type="noConversion"/>
  </si>
  <si>
    <t>010-6630-9763</t>
    <phoneticPr fontId="2" type="noConversion"/>
  </si>
  <si>
    <t>010-5218-9684</t>
  </si>
  <si>
    <t>010-5218-9684</t>
    <phoneticPr fontId="2" type="noConversion"/>
  </si>
  <si>
    <t>010-5382-7003</t>
  </si>
  <si>
    <t>010-4186-7229</t>
  </si>
  <si>
    <t>010-1749-9520</t>
  </si>
  <si>
    <t>010-9009-1252</t>
  </si>
  <si>
    <t>Field1</t>
    <phoneticPr fontId="2" type="noConversion"/>
  </si>
  <si>
    <t>Field2</t>
    <phoneticPr fontId="2" type="noConversion"/>
  </si>
  <si>
    <t>Field3</t>
    <phoneticPr fontId="2" type="noConversion"/>
  </si>
  <si>
    <t>Field4</t>
    <phoneticPr fontId="2" type="noConversion"/>
  </si>
  <si>
    <t>Field5</t>
    <phoneticPr fontId="2" type="noConversion"/>
  </si>
  <si>
    <t>A</t>
    <phoneticPr fontId="21" type="noConversion"/>
  </si>
  <si>
    <t>B</t>
    <phoneticPr fontId="21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</si>
  <si>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</si>
  <si>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</si>
  <si>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</si>
  <si>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</si>
  <si>
    <t>F</t>
    <phoneticPr fontId="2" type="noConversion"/>
  </si>
  <si>
    <t>A</t>
    <phoneticPr fontId="2" type="noConversion"/>
  </si>
  <si>
    <t>P</t>
    <phoneticPr fontId="2" type="noConversion"/>
  </si>
  <si>
    <t>2. 데이터합치기</t>
    <phoneticPr fontId="16" type="noConversion"/>
  </si>
  <si>
    <t>3. 화면에 보이는 셀만 복사하기</t>
    <phoneticPr fontId="16" type="noConversion"/>
  </si>
  <si>
    <t>4. 동일 형태표 일괄 수정</t>
    <phoneticPr fontId="16" type="noConversion"/>
  </si>
  <si>
    <t>지점명</t>
    <phoneticPr fontId="2" type="noConversion"/>
  </si>
  <si>
    <t>서울</t>
  </si>
  <si>
    <t>부산</t>
  </si>
  <si>
    <t>대구</t>
  </si>
  <si>
    <t>인천</t>
  </si>
  <si>
    <t>광주</t>
  </si>
  <si>
    <t>대전</t>
  </si>
  <si>
    <t>울산</t>
  </si>
  <si>
    <t>M30015</t>
    <phoneticPr fontId="2" type="noConversion"/>
  </si>
  <si>
    <t>M30016</t>
    <phoneticPr fontId="2" type="noConversion"/>
  </si>
  <si>
    <t>M30017</t>
    <phoneticPr fontId="2" type="noConversion"/>
  </si>
  <si>
    <t>M30018</t>
    <phoneticPr fontId="2" type="noConversion"/>
  </si>
  <si>
    <t>M30019</t>
    <phoneticPr fontId="2" type="noConversion"/>
  </si>
  <si>
    <t>M30020</t>
    <phoneticPr fontId="2" type="noConversion"/>
  </si>
  <si>
    <t>교육평가 결과표</t>
    <phoneticPr fontId="7" type="noConversion"/>
  </si>
  <si>
    <t>부서코드</t>
    <phoneticPr fontId="21" type="noConversion"/>
  </si>
  <si>
    <t>이름</t>
    <phoneticPr fontId="21" type="noConversion"/>
  </si>
  <si>
    <t>부서</t>
    <phoneticPr fontId="21" type="noConversion"/>
  </si>
  <si>
    <t>HWP</t>
    <phoneticPr fontId="21" type="noConversion"/>
  </si>
  <si>
    <t>PPT</t>
    <phoneticPr fontId="21" type="noConversion"/>
  </si>
  <si>
    <t>XLS</t>
    <phoneticPr fontId="21" type="noConversion"/>
  </si>
  <si>
    <t>총점</t>
    <phoneticPr fontId="21" type="noConversion"/>
  </si>
  <si>
    <t>평균</t>
    <phoneticPr fontId="21" type="noConversion"/>
  </si>
  <si>
    <t>평점</t>
    <phoneticPr fontId="21" type="noConversion"/>
  </si>
  <si>
    <t>등급</t>
    <phoneticPr fontId="21" type="noConversion"/>
  </si>
  <si>
    <t>[기준표]</t>
  </si>
  <si>
    <t>사번</t>
    <phoneticPr fontId="21" type="noConversion"/>
  </si>
  <si>
    <t>MN</t>
  </si>
  <si>
    <t>전수민</t>
    <phoneticPr fontId="34" type="noConversion"/>
  </si>
  <si>
    <t>평균</t>
  </si>
  <si>
    <t>평점</t>
  </si>
  <si>
    <t>등급</t>
  </si>
  <si>
    <t>부서코드</t>
  </si>
  <si>
    <t>부서</t>
  </si>
  <si>
    <t>MN1-11</t>
  </si>
  <si>
    <t>TA</t>
    <phoneticPr fontId="37" type="noConversion"/>
  </si>
  <si>
    <t>나상훈</t>
    <phoneticPr fontId="34" type="noConversion"/>
  </si>
  <si>
    <t>TA</t>
  </si>
  <si>
    <t>총무부</t>
  </si>
  <si>
    <t>TA2-22</t>
  </si>
  <si>
    <t>박윤숙</t>
    <phoneticPr fontId="34" type="noConversion"/>
  </si>
  <si>
    <t>D+</t>
  </si>
  <si>
    <t>기획부</t>
  </si>
  <si>
    <t>TA1-33</t>
  </si>
  <si>
    <t>안민현</t>
    <phoneticPr fontId="34" type="noConversion"/>
  </si>
  <si>
    <t>C-</t>
  </si>
  <si>
    <t>AP</t>
  </si>
  <si>
    <t>관리부</t>
  </si>
  <si>
    <t>MN1-33</t>
  </si>
  <si>
    <t>윤수민</t>
    <phoneticPr fontId="34" type="noConversion"/>
  </si>
  <si>
    <t>C+</t>
  </si>
  <si>
    <t>이철수</t>
    <phoneticPr fontId="34" type="noConversion"/>
  </si>
  <si>
    <t>B-</t>
  </si>
  <si>
    <t>직급코드</t>
    <phoneticPr fontId="2" type="noConversion"/>
  </si>
  <si>
    <t>직급</t>
    <phoneticPr fontId="2" type="noConversion"/>
  </si>
  <si>
    <t>MN3-11</t>
  </si>
  <si>
    <t>임민정</t>
    <phoneticPr fontId="34" type="noConversion"/>
  </si>
  <si>
    <t>B+</t>
  </si>
  <si>
    <t>부장</t>
    <phoneticPr fontId="2" type="noConversion"/>
  </si>
  <si>
    <t>MN2-11</t>
  </si>
  <si>
    <t>AP</t>
    <phoneticPr fontId="37" type="noConversion"/>
  </si>
  <si>
    <t>조상규</t>
    <phoneticPr fontId="34" type="noConversion"/>
  </si>
  <si>
    <t>A-</t>
  </si>
  <si>
    <t>과장</t>
    <phoneticPr fontId="37" type="noConversion"/>
  </si>
  <si>
    <t>AP2-22</t>
  </si>
  <si>
    <t>차기훈</t>
    <phoneticPr fontId="34" type="noConversion"/>
  </si>
  <si>
    <t>A+</t>
  </si>
  <si>
    <t>대리</t>
    <phoneticPr fontId="37" type="noConversion"/>
  </si>
  <si>
    <t>AP1-33</t>
  </si>
  <si>
    <t>최화정</t>
    <phoneticPr fontId="34" type="noConversion"/>
  </si>
  <si>
    <t>TA3-22</t>
  </si>
  <si>
    <t>황정호</t>
    <phoneticPr fontId="34" type="noConversion"/>
  </si>
  <si>
    <t>MN2-33</t>
  </si>
  <si>
    <t>vlookup 근사값(마지막 옵션 TRUE)으로 할때는평균값이 오름차순만 가능</t>
    <phoneticPr fontId="21" type="noConversion"/>
  </si>
  <si>
    <t xml:space="preserve">고급 필터로 조건에 맞는 데이터 필터링
</t>
    <phoneticPr fontId="2" type="noConversion"/>
  </si>
  <si>
    <t>첫 번째 행에는 필드명을 입력, 아래에는 조건을 입력</t>
    <phoneticPr fontId="2" type="noConversion"/>
  </si>
  <si>
    <t>번호</t>
    <phoneticPr fontId="7" type="noConversion"/>
  </si>
  <si>
    <t>분야</t>
    <phoneticPr fontId="7" type="noConversion"/>
  </si>
  <si>
    <t>제품코드</t>
    <phoneticPr fontId="7" type="noConversion"/>
  </si>
  <si>
    <t>담당</t>
    <phoneticPr fontId="7" type="noConversion"/>
  </si>
  <si>
    <t>원가</t>
    <phoneticPr fontId="7" type="noConversion"/>
  </si>
  <si>
    <t>단가</t>
    <phoneticPr fontId="7" type="noConversion"/>
  </si>
  <si>
    <t>[조건 입력]</t>
    <phoneticPr fontId="7" type="noConversion"/>
  </si>
  <si>
    <t>AND 조건</t>
    <phoneticPr fontId="2" type="noConversion"/>
  </si>
  <si>
    <t>에너지</t>
    <phoneticPr fontId="7" type="noConversion"/>
  </si>
  <si>
    <t>E-4363</t>
    <phoneticPr fontId="7" type="noConversion"/>
  </si>
  <si>
    <t>한은민</t>
  </si>
  <si>
    <t>의료서비스</t>
  </si>
  <si>
    <t>C-4360</t>
    <phoneticPr fontId="7" type="noConversion"/>
  </si>
  <si>
    <t>김민영</t>
  </si>
  <si>
    <t>스마트홈</t>
    <phoneticPr fontId="7" type="noConversion"/>
  </si>
  <si>
    <t>&gt;=1000000</t>
    <phoneticPr fontId="7" type="noConversion"/>
  </si>
  <si>
    <t>C-4361</t>
    <phoneticPr fontId="7" type="noConversion"/>
  </si>
  <si>
    <t>OR 조건</t>
    <phoneticPr fontId="2" type="noConversion"/>
  </si>
  <si>
    <t>A-4361</t>
  </si>
  <si>
    <t>전서우</t>
  </si>
  <si>
    <t>헬스케어</t>
  </si>
  <si>
    <t>A-4362</t>
  </si>
  <si>
    <t>H-4362</t>
    <phoneticPr fontId="7" type="noConversion"/>
  </si>
  <si>
    <t>박긴진</t>
  </si>
  <si>
    <t>스마트홈</t>
  </si>
  <si>
    <t>A-4360</t>
  </si>
  <si>
    <t>에너지</t>
  </si>
  <si>
    <t>A-4365</t>
  </si>
  <si>
    <t>A-4364</t>
  </si>
  <si>
    <t>A-4363</t>
  </si>
  <si>
    <t>고급 필터 조건 작성</t>
    <phoneticPr fontId="16" type="noConversion"/>
  </si>
  <si>
    <t>부서</t>
    <phoneticPr fontId="16" type="noConversion"/>
  </si>
  <si>
    <t>나이</t>
    <phoneticPr fontId="16" type="noConversion"/>
  </si>
  <si>
    <t>AND 조건</t>
    <phoneticPr fontId="16" type="noConversion"/>
  </si>
  <si>
    <t>총무과</t>
    <phoneticPr fontId="16" type="noConversion"/>
  </si>
  <si>
    <t>&gt;=40</t>
    <phoneticPr fontId="16" type="noConversion"/>
  </si>
  <si>
    <t>총무과에 근무하는 사람 중 나이가 40 이상인 데이터</t>
    <phoneticPr fontId="16" type="noConversion"/>
  </si>
  <si>
    <t>OR 조건</t>
    <phoneticPr fontId="16" type="noConversion"/>
  </si>
  <si>
    <t>총무과에 근무하거나 나이가 40 이상 데이터</t>
    <phoneticPr fontId="16" type="noConversion"/>
  </si>
  <si>
    <t>직급</t>
    <phoneticPr fontId="16" type="noConversion"/>
  </si>
  <si>
    <t>과장</t>
    <phoneticPr fontId="16" type="noConversion"/>
  </si>
  <si>
    <t>AND 조건과 OR 조건이 복합</t>
    <phoneticPr fontId="16" type="noConversion"/>
  </si>
  <si>
    <t>부장</t>
    <phoneticPr fontId="16" type="noConversion"/>
  </si>
  <si>
    <t>&gt;=45</t>
    <phoneticPr fontId="16" type="noConversion"/>
  </si>
  <si>
    <t>과장 직급에서 나이가 40 이상이거나 부장 직급에서 나이가 45 이상 데이터</t>
    <phoneticPr fontId="16" type="noConversion"/>
  </si>
  <si>
    <t>일자</t>
    <phoneticPr fontId="16" type="noConversion"/>
  </si>
  <si>
    <t>&gt;=2024-2-1</t>
    <phoneticPr fontId="16" type="noConversion"/>
  </si>
  <si>
    <t>&lt;=2024-3-10</t>
    <phoneticPr fontId="16" type="noConversion"/>
  </si>
  <si>
    <t>2024년 2월 1일 ~ 2024년 3월 10일까지의 데이터 추출</t>
    <phoneticPr fontId="16" type="noConversion"/>
  </si>
  <si>
    <t>Product-wise Sales Report</t>
    <phoneticPr fontId="2" type="noConversion"/>
  </si>
  <si>
    <t>개수</t>
    <phoneticPr fontId="16" type="noConversion"/>
  </si>
  <si>
    <t>총판매액</t>
    <phoneticPr fontId="16" type="noConversion"/>
  </si>
  <si>
    <t>평균판매액</t>
    <phoneticPr fontId="16" type="noConversion"/>
  </si>
  <si>
    <t>최고판매액</t>
    <phoneticPr fontId="16" type="noConversion"/>
  </si>
  <si>
    <t>OrderId</t>
    <phoneticPr fontId="2" type="noConversion"/>
  </si>
  <si>
    <t>OrderDate</t>
    <phoneticPr fontId="2" type="noConversion"/>
  </si>
  <si>
    <t>OrdMonth</t>
    <phoneticPr fontId="2" type="noConversion"/>
  </si>
  <si>
    <t>Month</t>
    <phoneticPr fontId="2" type="noConversion"/>
  </si>
  <si>
    <t>Resellercode</t>
    <phoneticPr fontId="2" type="noConversion"/>
  </si>
  <si>
    <t>UnitPrice_Sales</t>
    <phoneticPr fontId="2" type="noConversion"/>
  </si>
  <si>
    <t>QTY</t>
    <phoneticPr fontId="2" type="noConversion"/>
  </si>
  <si>
    <t>Realsales</t>
    <phoneticPr fontId="2" type="noConversion"/>
  </si>
  <si>
    <t>R121002</t>
  </si>
  <si>
    <t>R113062</t>
  </si>
  <si>
    <t>R112017</t>
  </si>
  <si>
    <t>R113052</t>
  </si>
  <si>
    <t>R113062</t>
    <phoneticPr fontId="2" type="noConversion"/>
  </si>
  <si>
    <t>R112017</t>
    <phoneticPr fontId="2" type="noConversion"/>
  </si>
  <si>
    <t>R113052</t>
    <phoneticPr fontId="2" type="noConversion"/>
  </si>
  <si>
    <t>R113005</t>
  </si>
  <si>
    <t>함수번호</t>
    <phoneticPr fontId="7" type="noConversion"/>
  </si>
  <si>
    <t>함수</t>
    <phoneticPr fontId="7" type="noConversion"/>
  </si>
  <si>
    <t>AVERAGE</t>
    <phoneticPr fontId="7" type="noConversion"/>
  </si>
  <si>
    <t>평균</t>
    <phoneticPr fontId="7" type="noConversion"/>
  </si>
  <si>
    <t>COUNT</t>
    <phoneticPr fontId="7" type="noConversion"/>
  </si>
  <si>
    <t>수치개수</t>
    <phoneticPr fontId="7" type="noConversion"/>
  </si>
  <si>
    <t>COUNTA</t>
    <phoneticPr fontId="7" type="noConversion"/>
  </si>
  <si>
    <t>개수</t>
    <phoneticPr fontId="7" type="noConversion"/>
  </si>
  <si>
    <t>MAX</t>
    <phoneticPr fontId="7" type="noConversion"/>
  </si>
  <si>
    <t>최대값</t>
    <phoneticPr fontId="7" type="noConversion"/>
  </si>
  <si>
    <t>MIN</t>
    <phoneticPr fontId="7" type="noConversion"/>
  </si>
  <si>
    <t>최소값</t>
    <phoneticPr fontId="7" type="noConversion"/>
  </si>
  <si>
    <t>PRODUCT</t>
    <phoneticPr fontId="7" type="noConversion"/>
  </si>
  <si>
    <t>곱하기</t>
    <phoneticPr fontId="7" type="noConversion"/>
  </si>
  <si>
    <t>STDEV</t>
    <phoneticPr fontId="7" type="noConversion"/>
  </si>
  <si>
    <t>표본 표준편차</t>
    <phoneticPr fontId="7" type="noConversion"/>
  </si>
  <si>
    <t>STDEVP</t>
    <phoneticPr fontId="7" type="noConversion"/>
  </si>
  <si>
    <t>모집단 표준편차</t>
    <phoneticPr fontId="7" type="noConversion"/>
  </si>
  <si>
    <t>SUM</t>
    <phoneticPr fontId="7" type="noConversion"/>
  </si>
  <si>
    <t>합계</t>
    <phoneticPr fontId="7" type="noConversion"/>
  </si>
  <si>
    <t>VAR</t>
    <phoneticPr fontId="7" type="noConversion"/>
  </si>
  <si>
    <t>표본 분산</t>
    <phoneticPr fontId="7" type="noConversion"/>
  </si>
  <si>
    <t>AVRP</t>
    <phoneticPr fontId="7" type="noConversion"/>
  </si>
  <si>
    <t>모집단 분산</t>
    <phoneticPr fontId="7" type="noConversion"/>
  </si>
  <si>
    <t>← 슬라이서 눌러보기</t>
    <phoneticPr fontId="2" type="noConversion"/>
  </si>
  <si>
    <t>조회 사원명</t>
    <phoneticPr fontId="21" type="noConversion"/>
  </si>
  <si>
    <t>안정훈</t>
  </si>
  <si>
    <t>☜ 사원을 선택하세요</t>
    <phoneticPr fontId="53" type="noConversion"/>
  </si>
  <si>
    <t>이름</t>
    <phoneticPr fontId="2" type="noConversion"/>
  </si>
  <si>
    <t>부서</t>
    <phoneticPr fontId="2" type="noConversion"/>
  </si>
  <si>
    <t>주소</t>
    <phoneticPr fontId="2" type="noConversion"/>
  </si>
  <si>
    <t>직급</t>
    <phoneticPr fontId="21" type="noConversion"/>
  </si>
  <si>
    <t>연락처</t>
    <phoneticPr fontId="21" type="noConversion"/>
  </si>
  <si>
    <t>고신애</t>
    <phoneticPr fontId="7" type="noConversion"/>
  </si>
  <si>
    <t>대리</t>
    <phoneticPr fontId="7" type="noConversion"/>
  </si>
  <si>
    <t>동구 신흥동 75-3</t>
  </si>
  <si>
    <t>김덕훈</t>
  </si>
  <si>
    <t>도봉구 창 1동 218-16</t>
  </si>
  <si>
    <t>김소미</t>
  </si>
  <si>
    <t>인사부</t>
    <phoneticPr fontId="7" type="noConversion"/>
  </si>
  <si>
    <t>서초구 방배본동 102-3</t>
  </si>
  <si>
    <t>김아름</t>
    <phoneticPr fontId="7" type="noConversion"/>
  </si>
  <si>
    <t>영업부</t>
    <phoneticPr fontId="7" type="noConversion"/>
  </si>
  <si>
    <t>사원</t>
    <phoneticPr fontId="7" type="noConversion"/>
  </si>
  <si>
    <t>종로구 내자동 190-53</t>
  </si>
  <si>
    <t>김애자</t>
    <phoneticPr fontId="7" type="noConversion"/>
  </si>
  <si>
    <t>태평 3동 120-1</t>
  </si>
  <si>
    <t>김찬진</t>
  </si>
  <si>
    <t>총무부</t>
    <phoneticPr fontId="7" type="noConversion"/>
  </si>
  <si>
    <t>김형민</t>
    <phoneticPr fontId="7" type="noConversion"/>
  </si>
  <si>
    <t>강정동 718-1</t>
  </si>
  <si>
    <t>박문수</t>
    <phoneticPr fontId="7" type="noConversion"/>
  </si>
  <si>
    <t>남구 소사 3동 146</t>
  </si>
  <si>
    <t>박수동</t>
    <phoneticPr fontId="7" type="noConversion"/>
  </si>
  <si>
    <t>동대문구 신설동 721-11</t>
  </si>
  <si>
    <t>서수일</t>
    <phoneticPr fontId="7" type="noConversion"/>
  </si>
  <si>
    <t>과장</t>
    <phoneticPr fontId="7" type="noConversion"/>
  </si>
  <si>
    <t>송파구 마천동 120</t>
  </si>
  <si>
    <t>선하라</t>
  </si>
  <si>
    <t>소성환</t>
    <phoneticPr fontId="7" type="noConversion"/>
  </si>
  <si>
    <t>관리부</t>
    <phoneticPr fontId="7" type="noConversion"/>
  </si>
  <si>
    <t>중구 남산동 3가 43</t>
  </si>
  <si>
    <t>신길자</t>
    <phoneticPr fontId="7" type="noConversion"/>
  </si>
  <si>
    <t>신수산</t>
    <phoneticPr fontId="7" type="noConversion"/>
  </si>
  <si>
    <t>은행동 425-12</t>
  </si>
  <si>
    <t>서구 연희동 400-16</t>
  </si>
  <si>
    <t>오영수</t>
  </si>
  <si>
    <t>구로구 오류 1동 101</t>
  </si>
  <si>
    <t>010-7028-4748</t>
  </si>
  <si>
    <t>오현미</t>
    <phoneticPr fontId="7" type="noConversion"/>
  </si>
  <si>
    <t>010-4703-1026</t>
  </si>
  <si>
    <t>유가을</t>
  </si>
  <si>
    <t>010-9386-1248</t>
  </si>
  <si>
    <t>윤대현</t>
  </si>
  <si>
    <t>야탑동 77</t>
  </si>
  <si>
    <t>010-4763-1829</t>
  </si>
  <si>
    <t>이동기</t>
    <phoneticPr fontId="7" type="noConversion"/>
  </si>
  <si>
    <t>서대문구 창천동 167-3</t>
  </si>
  <si>
    <t>010-5970-3469</t>
  </si>
  <si>
    <t>이순현</t>
    <phoneticPr fontId="7" type="noConversion"/>
  </si>
  <si>
    <t>용산구서빙고동 111-16</t>
  </si>
  <si>
    <t>010-5687-5678</t>
    <phoneticPr fontId="2" type="noConversion"/>
  </si>
  <si>
    <t>이승혁</t>
    <phoneticPr fontId="7" type="noConversion"/>
  </si>
  <si>
    <t>010-3886-8593</t>
  </si>
  <si>
    <t>이현희</t>
    <phoneticPr fontId="7" type="noConversion"/>
  </si>
  <si>
    <t>010-4078-2964</t>
  </si>
  <si>
    <t>조보람</t>
    <phoneticPr fontId="7" type="noConversion"/>
  </si>
  <si>
    <t>강서구 화곡 1동 77-3</t>
  </si>
  <si>
    <t>010-3676-6555</t>
  </si>
  <si>
    <t>최경아</t>
    <phoneticPr fontId="7" type="noConversion"/>
  </si>
  <si>
    <t>호계동 11</t>
  </si>
  <si>
    <t>010-2734-1149</t>
  </si>
  <si>
    <t>최소라</t>
  </si>
  <si>
    <t>010-7631-8729</t>
  </si>
  <si>
    <t>A</t>
  </si>
  <si>
    <t>D</t>
  </si>
  <si>
    <t>B</t>
  </si>
  <si>
    <t>C</t>
  </si>
  <si>
    <t>E</t>
  </si>
  <si>
    <t>이동기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</si>
</sst>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\ @"/>
    <numFmt numFmtId="177" formatCode="0.0_ "/>
    <numFmt numFmtId="178" formatCode="0.0"/>
    <numFmt numFmtId="179" formatCode="0000"/>
    <numFmt numFmtId="180" formatCode="mm\/dd"/>
    <numFmt numFmtId="181" formatCode="General&quot;분&quot;&quot;기&quot;"/>
    <numFmt numFmtId="182" formatCode="General&quot;월&quot;"/>
  </numFmts>
  <fonts count="58">
    <font>
      <sz val="11"/>
      <color theme="1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54"/>
      <color rgb="FFFFFFFF"/>
      <name val="맑은 고딕"/>
      <family val="3"/>
      <charset val="129"/>
    </font>
    <font>
      <sz val="24"/>
      <color rgb="FFFFFFFF"/>
      <name val="맑은 고딕"/>
      <family val="3"/>
      <charset val="129"/>
    </font>
    <font>
      <sz val="8"/>
      <name val="돋움"/>
      <family val="3"/>
      <charset val="129"/>
    </font>
    <font>
      <sz val="12"/>
      <color theme="1" tint="4.9989318521683403E-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indexed="8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 tint="0.1499984740745262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8"/>
      <name val="맑은 고딕"/>
      <family val="2"/>
      <charset val="129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i/>
      <sz val="10"/>
      <color theme="1" tint="0.249977111117893"/>
      <name val="맑은 고딕"/>
      <family val="3"/>
      <charset val="129"/>
      <scheme val="minor"/>
    </font>
    <font>
      <sz val="8"/>
      <name val="돋움"/>
      <family val="2"/>
      <charset val="129"/>
    </font>
    <font>
      <sz val="10.5"/>
      <color theme="0"/>
      <name val="맑은 고딕"/>
      <family val="3"/>
      <charset val="129"/>
      <scheme val="minor"/>
    </font>
    <font>
      <sz val="11"/>
      <color theme="3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theme="3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21734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  <fill>
      <patternFill patternType="solid">
        <fgColor rgb="FF22744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C5B6F"/>
        <bgColor indexed="64"/>
      </patternFill>
    </fill>
    <fill>
      <patternFill patternType="solid">
        <fgColor rgb="FFF7F7F7"/>
        <bgColor rgb="FF000000"/>
      </patternFill>
    </fill>
    <fill>
      <patternFill patternType="solid">
        <fgColor rgb="FF948979"/>
        <bgColor rgb="FF00000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35585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</borders>
  <cellStyleXfs count="27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6" fillId="0" borderId="0"/>
    <xf numFmtId="0" fontId="13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20" fillId="0" borderId="0">
      <alignment vertical="center"/>
    </xf>
    <xf numFmtId="0" fontId="41" fillId="0" borderId="0">
      <alignment vertical="center"/>
    </xf>
    <xf numFmtId="0" fontId="26" fillId="0" borderId="0">
      <alignment vertical="center"/>
    </xf>
    <xf numFmtId="0" fontId="14" fillId="5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/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5" fillId="3" borderId="0" xfId="1" applyFont="1" applyFill="1" applyBorder="1" applyAlignment="1">
      <alignment horizontal="left" indent="1"/>
    </xf>
    <xf numFmtId="0" fontId="6" fillId="3" borderId="0" xfId="1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3" fillId="0" borderId="0" xfId="0" applyFont="1">
      <alignment vertical="center"/>
    </xf>
    <xf numFmtId="0" fontId="8" fillId="0" borderId="2" xfId="0" applyFont="1" applyBorder="1" applyAlignment="1">
      <alignment horizontal="left" vertical="center" indent="1"/>
    </xf>
    <xf numFmtId="0" fontId="9" fillId="0" borderId="0" xfId="0" applyFont="1">
      <alignment vertical="center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3" borderId="0" xfId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indent="1"/>
    </xf>
    <xf numFmtId="0" fontId="15" fillId="4" borderId="0" xfId="0" applyFont="1" applyFill="1">
      <alignment vertical="center"/>
    </xf>
    <xf numFmtId="0" fontId="17" fillId="4" borderId="0" xfId="0" applyFont="1" applyFill="1">
      <alignment vertical="center"/>
    </xf>
    <xf numFmtId="0" fontId="17" fillId="4" borderId="0" xfId="0" applyFont="1" applyFill="1" applyAlignment="1">
      <alignment horizontal="center" vertical="center"/>
    </xf>
    <xf numFmtId="0" fontId="18" fillId="4" borderId="0" xfId="0" applyFont="1" applyFill="1">
      <alignment vertical="center"/>
    </xf>
    <xf numFmtId="0" fontId="19" fillId="6" borderId="33" xfId="3" applyFont="1" applyFill="1" applyBorder="1" applyAlignment="1">
      <alignment horizontal="center" vertical="center"/>
    </xf>
    <xf numFmtId="0" fontId="20" fillId="0" borderId="33" xfId="4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9" fillId="0" borderId="33" xfId="6" applyFont="1" applyBorder="1" applyAlignment="1">
      <alignment horizontal="center" vertical="center"/>
    </xf>
    <xf numFmtId="0" fontId="9" fillId="4" borderId="33" xfId="6" applyFont="1" applyFill="1" applyBorder="1" applyAlignment="1">
      <alignment horizontal="center" vertical="center"/>
    </xf>
    <xf numFmtId="0" fontId="22" fillId="0" borderId="33" xfId="3" applyFont="1" applyBorder="1" applyAlignment="1">
      <alignment horizontal="center" vertical="center"/>
    </xf>
    <xf numFmtId="0" fontId="22" fillId="4" borderId="33" xfId="3" applyFont="1" applyFill="1" applyBorder="1" applyAlignment="1">
      <alignment horizontal="center" vertical="center"/>
    </xf>
    <xf numFmtId="176" fontId="9" fillId="0" borderId="33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3" xfId="7" applyFont="1" applyBorder="1" applyAlignment="1">
      <alignment horizontal="center" vertical="center"/>
    </xf>
    <xf numFmtId="0" fontId="22" fillId="0" borderId="33" xfId="6" applyFont="1" applyBorder="1" applyAlignment="1">
      <alignment horizontal="center" vertical="center"/>
    </xf>
    <xf numFmtId="14" fontId="22" fillId="4" borderId="33" xfId="6" applyNumberFormat="1" applyFont="1" applyFill="1" applyBorder="1" applyAlignment="1">
      <alignment horizontal="center" vertical="center"/>
    </xf>
    <xf numFmtId="0" fontId="22" fillId="0" borderId="33" xfId="3" quotePrefix="1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3" fillId="4" borderId="33" xfId="3" applyFont="1" applyFill="1" applyBorder="1" applyAlignment="1">
      <alignment horizontal="center" vertical="center"/>
    </xf>
    <xf numFmtId="0" fontId="9" fillId="4" borderId="33" xfId="7" applyFont="1" applyFill="1" applyBorder="1" applyAlignment="1">
      <alignment horizontal="center" vertical="center"/>
    </xf>
    <xf numFmtId="0" fontId="20" fillId="4" borderId="33" xfId="4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2" fillId="0" borderId="33" xfId="9" applyFont="1" applyBorder="1" applyAlignment="1">
      <alignment horizontal="center" vertical="center"/>
    </xf>
    <xf numFmtId="14" fontId="22" fillId="8" borderId="33" xfId="6" applyNumberFormat="1" applyFont="1" applyFill="1" applyBorder="1" applyAlignment="1">
      <alignment horizontal="center" vertical="center"/>
    </xf>
    <xf numFmtId="0" fontId="10" fillId="0" borderId="33" xfId="10" applyFont="1" applyBorder="1" applyAlignment="1" applyProtection="1">
      <alignment horizontal="center" vertical="center" wrapText="1"/>
      <protection locked="0"/>
    </xf>
    <xf numFmtId="14" fontId="10" fillId="0" borderId="33" xfId="10" applyNumberFormat="1" applyFont="1" applyBorder="1" applyAlignment="1" applyProtection="1">
      <alignment horizontal="center" vertical="center" wrapText="1"/>
      <protection locked="0"/>
    </xf>
    <xf numFmtId="3" fontId="10" fillId="0" borderId="33" xfId="10" applyNumberFormat="1" applyFont="1" applyBorder="1" applyAlignment="1" applyProtection="1">
      <alignment horizontal="center" vertical="center" wrapText="1"/>
      <protection locked="0"/>
    </xf>
    <xf numFmtId="14" fontId="10" fillId="4" borderId="33" xfId="10" applyNumberFormat="1" applyFont="1" applyFill="1" applyBorder="1" applyAlignment="1" applyProtection="1">
      <alignment horizontal="center" vertical="center" wrapText="1"/>
      <protection locked="0"/>
    </xf>
    <xf numFmtId="0" fontId="10" fillId="4" borderId="33" xfId="10" applyFont="1" applyFill="1" applyBorder="1" applyAlignment="1" applyProtection="1">
      <alignment horizontal="center" vertical="center" wrapText="1"/>
      <protection locked="0"/>
    </xf>
    <xf numFmtId="3" fontId="10" fillId="4" borderId="33" xfId="1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11" applyFont="1">
      <alignment vertical="center"/>
    </xf>
    <xf numFmtId="0" fontId="31" fillId="0" borderId="0" xfId="12" applyFont="1">
      <alignment vertical="center"/>
    </xf>
    <xf numFmtId="0" fontId="25" fillId="0" borderId="0" xfId="12" applyFont="1">
      <alignment vertical="center"/>
    </xf>
    <xf numFmtId="0" fontId="33" fillId="9" borderId="33" xfId="13" applyFont="1" applyFill="1" applyBorder="1" applyAlignment="1">
      <alignment horizontal="center" vertical="center"/>
    </xf>
    <xf numFmtId="0" fontId="25" fillId="0" borderId="33" xfId="12" applyFont="1" applyBorder="1" applyAlignment="1">
      <alignment horizontal="center" vertical="center"/>
    </xf>
    <xf numFmtId="0" fontId="10" fillId="0" borderId="33" xfId="11" applyFont="1" applyBorder="1" applyAlignment="1">
      <alignment horizontal="center" vertical="center"/>
    </xf>
    <xf numFmtId="0" fontId="30" fillId="10" borderId="33" xfId="11" applyFont="1" applyFill="1" applyBorder="1" applyAlignment="1">
      <alignment horizontal="center" vertical="center"/>
    </xf>
    <xf numFmtId="177" fontId="10" fillId="0" borderId="33" xfId="11" applyNumberFormat="1" applyFont="1" applyBorder="1" applyAlignment="1">
      <alignment horizontal="center" vertical="center"/>
    </xf>
    <xf numFmtId="178" fontId="30" fillId="10" borderId="33" xfId="11" applyNumberFormat="1" applyFont="1" applyFill="1" applyBorder="1" applyAlignment="1">
      <alignment horizontal="center" vertical="center"/>
    </xf>
    <xf numFmtId="0" fontId="35" fillId="11" borderId="33" xfId="12" applyFont="1" applyFill="1" applyBorder="1" applyAlignment="1">
      <alignment horizontal="center" vertical="center"/>
    </xf>
    <xf numFmtId="0" fontId="36" fillId="11" borderId="33" xfId="12" applyFont="1" applyFill="1" applyBorder="1" applyAlignment="1">
      <alignment horizontal="center" vertical="center"/>
    </xf>
    <xf numFmtId="0" fontId="30" fillId="0" borderId="0" xfId="12">
      <alignment vertical="center"/>
    </xf>
    <xf numFmtId="0" fontId="25" fillId="0" borderId="35" xfId="12" applyFont="1" applyBorder="1" applyAlignment="1">
      <alignment horizontal="center" vertical="center"/>
    </xf>
    <xf numFmtId="0" fontId="25" fillId="0" borderId="36" xfId="12" applyFont="1" applyBorder="1" applyAlignment="1">
      <alignment horizontal="center" vertical="center"/>
    </xf>
    <xf numFmtId="177" fontId="25" fillId="0" borderId="24" xfId="12" applyNumberFormat="1" applyFont="1" applyBorder="1" applyAlignment="1">
      <alignment horizontal="center" vertical="center"/>
    </xf>
    <xf numFmtId="0" fontId="25" fillId="0" borderId="24" xfId="12" applyFont="1" applyBorder="1" applyAlignment="1">
      <alignment horizontal="center" vertical="center"/>
    </xf>
    <xf numFmtId="0" fontId="13" fillId="0" borderId="0" xfId="11">
      <alignment vertical="center"/>
    </xf>
    <xf numFmtId="0" fontId="38" fillId="0" borderId="0" xfId="11" applyFont="1">
      <alignment vertical="center"/>
    </xf>
    <xf numFmtId="0" fontId="39" fillId="0" borderId="0" xfId="12" applyFont="1">
      <alignment vertical="center"/>
    </xf>
    <xf numFmtId="0" fontId="40" fillId="4" borderId="0" xfId="14" applyFont="1" applyFill="1">
      <alignment vertical="center"/>
    </xf>
    <xf numFmtId="0" fontId="42" fillId="4" borderId="0" xfId="15" applyFont="1" applyFill="1">
      <alignment vertical="center"/>
    </xf>
    <xf numFmtId="0" fontId="43" fillId="4" borderId="0" xfId="15" applyFont="1" applyFill="1">
      <alignment vertical="center"/>
    </xf>
    <xf numFmtId="0" fontId="44" fillId="4" borderId="0" xfId="14" applyFont="1" applyFill="1">
      <alignment vertical="center"/>
    </xf>
    <xf numFmtId="0" fontId="40" fillId="0" borderId="0" xfId="14" applyFont="1">
      <alignment vertical="center"/>
    </xf>
    <xf numFmtId="0" fontId="45" fillId="0" borderId="0" xfId="0" applyFont="1" applyAlignment="1"/>
    <xf numFmtId="0" fontId="10" fillId="0" borderId="0" xfId="16" applyFont="1">
      <alignment vertical="center"/>
    </xf>
    <xf numFmtId="0" fontId="38" fillId="0" borderId="0" xfId="16" applyFont="1" applyAlignment="1">
      <alignment vertical="top"/>
    </xf>
    <xf numFmtId="0" fontId="19" fillId="12" borderId="37" xfId="17" applyFont="1" applyFill="1" applyBorder="1" applyAlignment="1">
      <alignment horizontal="center" vertical="center"/>
    </xf>
    <xf numFmtId="0" fontId="46" fillId="0" borderId="0" xfId="16" applyFont="1">
      <alignment vertical="center"/>
    </xf>
    <xf numFmtId="0" fontId="47" fillId="0" borderId="0" xfId="16" applyFont="1" applyAlignment="1">
      <alignment horizontal="right" vertical="center"/>
    </xf>
    <xf numFmtId="179" fontId="10" fillId="0" borderId="37" xfId="16" applyNumberFormat="1" applyFont="1" applyBorder="1" applyAlignment="1">
      <alignment horizontal="center" vertical="center"/>
    </xf>
    <xf numFmtId="0" fontId="10" fillId="0" borderId="37" xfId="16" applyFont="1" applyBorder="1" applyAlignment="1">
      <alignment horizontal="center" vertical="center"/>
    </xf>
    <xf numFmtId="41" fontId="10" fillId="0" borderId="37" xfId="18" applyFont="1" applyBorder="1" applyAlignment="1">
      <alignment horizontal="center" vertical="center"/>
    </xf>
    <xf numFmtId="0" fontId="27" fillId="13" borderId="37" xfId="17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10" fillId="0" borderId="37" xfId="0" applyFont="1" applyBorder="1" applyAlignment="1">
      <alignment horizontal="center" vertical="center"/>
    </xf>
    <xf numFmtId="41" fontId="10" fillId="0" borderId="37" xfId="18" applyFont="1" applyFill="1" applyBorder="1" applyAlignment="1">
      <alignment horizontal="center" vertical="center"/>
    </xf>
    <xf numFmtId="0" fontId="27" fillId="13" borderId="33" xfId="17" applyFont="1" applyFill="1" applyBorder="1" applyAlignment="1">
      <alignment horizontal="center" vertical="center"/>
    </xf>
    <xf numFmtId="41" fontId="10" fillId="0" borderId="33" xfId="18" applyFont="1" applyFill="1" applyBorder="1" applyAlignment="1">
      <alignment horizontal="center" vertical="center"/>
    </xf>
    <xf numFmtId="41" fontId="10" fillId="0" borderId="37" xfId="18" applyFont="1" applyBorder="1" applyAlignment="1">
      <alignment horizontal="center" vertical="center" shrinkToFit="1"/>
    </xf>
    <xf numFmtId="0" fontId="19" fillId="14" borderId="37" xfId="17" applyFont="1" applyFill="1" applyBorder="1" applyAlignment="1">
      <alignment horizontal="center" vertical="center"/>
    </xf>
    <xf numFmtId="0" fontId="10" fillId="0" borderId="33" xfId="16" applyFont="1" applyBorder="1" applyAlignment="1">
      <alignment horizontal="center" vertical="center"/>
    </xf>
    <xf numFmtId="0" fontId="48" fillId="0" borderId="0" xfId="15" applyFont="1">
      <alignment vertical="center"/>
    </xf>
    <xf numFmtId="0" fontId="41" fillId="0" borderId="0" xfId="15">
      <alignment vertical="center"/>
    </xf>
    <xf numFmtId="0" fontId="41" fillId="15" borderId="33" xfId="15" applyFill="1" applyBorder="1" applyAlignment="1">
      <alignment horizontal="center" vertical="center"/>
    </xf>
    <xf numFmtId="0" fontId="41" fillId="0" borderId="33" xfId="15" applyBorder="1" applyAlignment="1">
      <alignment horizontal="center" vertical="center"/>
    </xf>
    <xf numFmtId="0" fontId="41" fillId="0" borderId="33" xfId="15" applyBorder="1">
      <alignment vertical="center"/>
    </xf>
    <xf numFmtId="0" fontId="41" fillId="4" borderId="33" xfId="15" applyFill="1" applyBorder="1" applyAlignment="1">
      <alignment horizontal="center" vertical="center"/>
    </xf>
    <xf numFmtId="0" fontId="30" fillId="0" borderId="33" xfId="15" applyFont="1" applyBorder="1" applyAlignment="1">
      <alignment horizontal="center" vertical="center"/>
    </xf>
    <xf numFmtId="0" fontId="49" fillId="0" borderId="0" xfId="19" applyFont="1"/>
    <xf numFmtId="0" fontId="10" fillId="0" borderId="0" xfId="19" applyFont="1" applyAlignment="1">
      <alignment vertical="center"/>
    </xf>
    <xf numFmtId="0" fontId="9" fillId="0" borderId="0" xfId="20" applyFont="1">
      <alignment vertical="center"/>
    </xf>
    <xf numFmtId="14" fontId="24" fillId="16" borderId="33" xfId="8" applyNumberFormat="1" applyFont="1" applyFill="1" applyBorder="1" applyAlignment="1">
      <alignment horizontal="center" vertical="center"/>
    </xf>
    <xf numFmtId="41" fontId="9" fillId="4" borderId="33" xfId="2" applyFont="1" applyFill="1" applyBorder="1" applyAlignment="1">
      <alignment vertical="center"/>
    </xf>
    <xf numFmtId="41" fontId="9" fillId="0" borderId="33" xfId="2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50" fillId="4" borderId="38" xfId="0" applyFont="1" applyFill="1" applyBorder="1" applyAlignment="1">
      <alignment horizontal="center" vertical="center"/>
    </xf>
    <xf numFmtId="14" fontId="10" fillId="4" borderId="39" xfId="0" applyNumberFormat="1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9" fillId="0" borderId="41" xfId="20" applyFont="1" applyBorder="1" applyAlignment="1">
      <alignment horizontal="center" vertical="center"/>
    </xf>
    <xf numFmtId="180" fontId="9" fillId="0" borderId="37" xfId="20" applyNumberFormat="1" applyFont="1" applyBorder="1" applyAlignment="1">
      <alignment horizontal="center" vertical="center"/>
    </xf>
    <xf numFmtId="181" fontId="9" fillId="0" borderId="39" xfId="20" applyNumberFormat="1" applyFont="1" applyBorder="1" applyAlignment="1">
      <alignment horizontal="center" vertical="center"/>
    </xf>
    <xf numFmtId="182" fontId="9" fillId="0" borderId="37" xfId="20" applyNumberFormat="1" applyFont="1" applyBorder="1" applyAlignment="1">
      <alignment horizontal="center" vertical="center"/>
    </xf>
    <xf numFmtId="0" fontId="9" fillId="0" borderId="37" xfId="20" applyFont="1" applyBorder="1" applyAlignment="1">
      <alignment horizontal="distributed" vertical="center" indent="1"/>
    </xf>
    <xf numFmtId="41" fontId="9" fillId="0" borderId="37" xfId="21" applyFont="1" applyBorder="1">
      <alignment vertical="center"/>
    </xf>
    <xf numFmtId="41" fontId="9" fillId="4" borderId="42" xfId="21" applyFont="1" applyFill="1" applyBorder="1">
      <alignment vertical="center"/>
    </xf>
    <xf numFmtId="181" fontId="9" fillId="0" borderId="37" xfId="20" applyNumberFormat="1" applyFont="1" applyBorder="1" applyAlignment="1">
      <alignment horizontal="center" vertical="center"/>
    </xf>
    <xf numFmtId="0" fontId="9" fillId="0" borderId="43" xfId="20" applyFont="1" applyBorder="1" applyAlignment="1">
      <alignment horizontal="center" vertical="center"/>
    </xf>
    <xf numFmtId="180" fontId="9" fillId="0" borderId="44" xfId="20" applyNumberFormat="1" applyFont="1" applyBorder="1" applyAlignment="1">
      <alignment horizontal="center" vertical="center"/>
    </xf>
    <xf numFmtId="181" fontId="9" fillId="0" borderId="44" xfId="20" applyNumberFormat="1" applyFont="1" applyBorder="1" applyAlignment="1">
      <alignment horizontal="center" vertical="center"/>
    </xf>
    <xf numFmtId="182" fontId="9" fillId="0" borderId="44" xfId="20" applyNumberFormat="1" applyFont="1" applyBorder="1" applyAlignment="1">
      <alignment horizontal="center" vertical="center"/>
    </xf>
    <xf numFmtId="0" fontId="9" fillId="0" borderId="44" xfId="20" applyFont="1" applyBorder="1" applyAlignment="1">
      <alignment horizontal="distributed" vertical="center" indent="1"/>
    </xf>
    <xf numFmtId="41" fontId="9" fillId="0" borderId="44" xfId="21" applyFont="1" applyBorder="1">
      <alignment vertical="center"/>
    </xf>
    <xf numFmtId="41" fontId="9" fillId="4" borderId="45" xfId="21" applyFont="1" applyFill="1" applyBorder="1">
      <alignment vertical="center"/>
    </xf>
    <xf numFmtId="0" fontId="9" fillId="4" borderId="0" xfId="15" applyFont="1" applyFill="1" applyAlignment="1">
      <alignment horizontal="center" vertical="center"/>
    </xf>
    <xf numFmtId="0" fontId="9" fillId="4" borderId="0" xfId="15" applyFont="1" applyFill="1">
      <alignment vertical="center"/>
    </xf>
    <xf numFmtId="0" fontId="41" fillId="4" borderId="0" xfId="15" applyFill="1">
      <alignment vertical="center"/>
    </xf>
    <xf numFmtId="0" fontId="41" fillId="4" borderId="0" xfId="22" applyFill="1" applyAlignment="1">
      <alignment horizontal="center" vertical="center"/>
    </xf>
    <xf numFmtId="41" fontId="9" fillId="4" borderId="0" xfId="23" applyFont="1" applyFill="1" applyBorder="1" applyAlignment="1">
      <alignment vertical="center"/>
    </xf>
    <xf numFmtId="0" fontId="51" fillId="4" borderId="0" xfId="22" applyFont="1" applyFill="1" applyAlignment="1">
      <alignment horizontal="center" vertical="center"/>
    </xf>
    <xf numFmtId="0" fontId="19" fillId="7" borderId="46" xfId="13" applyFont="1" applyFill="1" applyBorder="1" applyAlignment="1">
      <alignment horizontal="center" vertical="center"/>
    </xf>
    <xf numFmtId="0" fontId="27" fillId="0" borderId="47" xfId="24" applyFont="1" applyBorder="1" applyAlignment="1">
      <alignment horizontal="center" vertical="center"/>
    </xf>
    <xf numFmtId="0" fontId="52" fillId="0" borderId="0" xfId="24" applyFont="1" applyAlignment="1">
      <alignment horizontal="left" vertical="center" indent="1"/>
    </xf>
    <xf numFmtId="0" fontId="10" fillId="0" borderId="0" xfId="24" applyFont="1">
      <alignment vertical="center"/>
    </xf>
    <xf numFmtId="0" fontId="27" fillId="0" borderId="0" xfId="24" applyFont="1">
      <alignment vertical="center"/>
    </xf>
    <xf numFmtId="0" fontId="20" fillId="0" borderId="0" xfId="24">
      <alignment vertical="center"/>
    </xf>
    <xf numFmtId="41" fontId="54" fillId="17" borderId="33" xfId="25" applyFont="1" applyFill="1" applyBorder="1" applyAlignment="1">
      <alignment horizontal="center" vertical="center"/>
    </xf>
    <xf numFmtId="0" fontId="55" fillId="18" borderId="0" xfId="24" applyFont="1" applyFill="1">
      <alignment vertical="center"/>
    </xf>
    <xf numFmtId="0" fontId="10" fillId="8" borderId="47" xfId="24" applyFont="1" applyFill="1" applyBorder="1" applyAlignment="1">
      <alignment horizontal="center" vertical="center"/>
    </xf>
    <xf numFmtId="0" fontId="10" fillId="0" borderId="0" xfId="24" applyFont="1" applyAlignment="1">
      <alignment horizontal="center" vertical="center"/>
    </xf>
    <xf numFmtId="0" fontId="27" fillId="4" borderId="48" xfId="12" applyFont="1" applyFill="1" applyBorder="1" applyAlignment="1">
      <alignment horizontal="center" vertical="center"/>
    </xf>
    <xf numFmtId="0" fontId="27" fillId="4" borderId="49" xfId="12" applyFont="1" applyFill="1" applyBorder="1" applyAlignment="1">
      <alignment horizontal="center" vertical="center"/>
    </xf>
    <xf numFmtId="0" fontId="27" fillId="4" borderId="50" xfId="12" applyFont="1" applyFill="1" applyBorder="1" applyAlignment="1">
      <alignment horizontal="center" vertical="center"/>
    </xf>
    <xf numFmtId="0" fontId="10" fillId="0" borderId="51" xfId="24" applyFont="1" applyBorder="1" applyAlignment="1">
      <alignment horizontal="center" vertical="center"/>
    </xf>
    <xf numFmtId="0" fontId="10" fillId="0" borderId="47" xfId="24" applyFont="1" applyBorder="1" applyAlignment="1">
      <alignment horizontal="center" vertical="center"/>
    </xf>
    <xf numFmtId="41" fontId="56" fillId="0" borderId="47" xfId="26" applyFont="1" applyBorder="1" applyAlignment="1">
      <alignment horizontal="left" vertical="center" wrapText="1"/>
    </xf>
    <xf numFmtId="0" fontId="10" fillId="0" borderId="52" xfId="24" applyFont="1" applyBorder="1" applyAlignment="1">
      <alignment horizontal="center" vertical="center"/>
    </xf>
    <xf numFmtId="0" fontId="56" fillId="0" borderId="51" xfId="24" applyFont="1" applyBorder="1" applyAlignment="1">
      <alignment horizontal="center" vertical="center" wrapText="1"/>
    </xf>
    <xf numFmtId="0" fontId="23" fillId="0" borderId="50" xfId="13" applyFont="1" applyBorder="1" applyAlignment="1">
      <alignment horizontal="center" vertical="center"/>
    </xf>
    <xf numFmtId="0" fontId="57" fillId="18" borderId="0" xfId="24" applyFont="1" applyFill="1">
      <alignment vertical="center"/>
    </xf>
    <xf numFmtId="0" fontId="3" fillId="0" borderId="2" xfId="0" applyFont="1" applyBorder="1" applyAlignment="1">
      <alignment horizontal="left" vertical="center" indent="1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19" xfId="0" applyFont="1" applyFill="1" applyBorder="1">
      <alignment vertical="center"/>
    </xf>
    <xf numFmtId="0" fontId="12" fillId="4" borderId="25" xfId="0" applyFont="1" applyFill="1" applyBorder="1">
      <alignment vertical="center"/>
    </xf>
    <xf numFmtId="0" fontId="12" fillId="4" borderId="29" xfId="0" applyFont="1" applyFill="1" applyBorder="1">
      <alignment vertical="center"/>
    </xf>
    <xf numFmtId="0" fontId="29" fillId="0" borderId="34" xfId="11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</cellXfs>
  <cellStyles count="27">
    <cellStyle name="강조색1 2" xfId="17" xr:uid="{BF128675-E75D-4D38-9DC2-F3C7BD0D862F}"/>
    <cellStyle name="쉼표 [0]" xfId="2" builtinId="6"/>
    <cellStyle name="쉼표 [0] 2" xfId="18" xr:uid="{F18B30E5-215E-4601-9D96-48AE575B07B0}"/>
    <cellStyle name="쉼표 [0] 2 4" xfId="5" xr:uid="{7EDE2448-AF81-4DD1-8314-79980FC1B39F}"/>
    <cellStyle name="쉼표 [0] 21 3" xfId="21" xr:uid="{0411B68C-F603-4B7F-90DF-D090C9406309}"/>
    <cellStyle name="쉼표 [0] 22 3" xfId="25" xr:uid="{3CE38E20-8FC2-45E7-B3ED-FC265CAD809C}"/>
    <cellStyle name="쉼표 [0] 24" xfId="23" xr:uid="{18C0ED0C-C90E-4EBB-BC01-38D63AA9C32F}"/>
    <cellStyle name="쉼표 [0] 3" xfId="26" xr:uid="{0DDF9556-7208-4BEB-A964-7C8122CFFC0B}"/>
    <cellStyle name="제목 2" xfId="1" builtinId="17"/>
    <cellStyle name="표준" xfId="0" builtinId="0"/>
    <cellStyle name="표준 13 4" xfId="24" xr:uid="{DB3A10CD-6077-4C6E-8AB6-C082D5E79416}"/>
    <cellStyle name="표준 17" xfId="7" xr:uid="{D068AB69-0428-4455-9656-0AC27AF99689}"/>
    <cellStyle name="표준 2" xfId="12" xr:uid="{AFB74BB1-CA90-48BC-B150-78619A4918FC}"/>
    <cellStyle name="표준 2 2" xfId="13" xr:uid="{23150750-E96E-471F-864C-ED3354ECE801}"/>
    <cellStyle name="표준 2 2 3" xfId="9" xr:uid="{9F1B4849-4033-489A-809C-F6DEC6626B27}"/>
    <cellStyle name="표준 2 6" xfId="16" xr:uid="{A2E985B8-8E36-4502-B8CA-06B02E779362}"/>
    <cellStyle name="표준 2 7 3" xfId="15" xr:uid="{8D8B7837-DBE0-4655-A70E-08EB9DE1EA48}"/>
    <cellStyle name="표준 2 8 5 2" xfId="14" xr:uid="{8120E437-45DE-4BC9-ACEA-2B6C8807FA2F}"/>
    <cellStyle name="표준 2 8 6 2" xfId="4" xr:uid="{ECE161EE-82E6-4378-943F-8C781E6C35D1}"/>
    <cellStyle name="표준 24 3" xfId="20" xr:uid="{2626FD72-C2D8-4E86-82CC-94F1ECEC1F7A}"/>
    <cellStyle name="표준 25" xfId="11" xr:uid="{25F4F062-DB26-4C9D-8104-B7A38F6AB88A}"/>
    <cellStyle name="표준 25 2" xfId="8" xr:uid="{48AF99CB-7D2F-4D63-9B2E-C0ACEF5ABA05}"/>
    <cellStyle name="표준 3 2 3" xfId="10" xr:uid="{E4BDCCFD-E132-4EF8-A1C3-8AF3AB6F15C5}"/>
    <cellStyle name="표준 30" xfId="6" xr:uid="{1F4EA135-2BB1-4B1C-816B-036934F413F7}"/>
    <cellStyle name="표준 8" xfId="3" xr:uid="{C32A9C48-0641-4439-BEA3-B67E0FCC4901}"/>
    <cellStyle name="표준 8 2 2" xfId="22" xr:uid="{ED17F5C9-6A83-4BFB-B717-3ABE0E86E59F}"/>
    <cellStyle name="표준_renaissance(excel)" xfId="19" xr:uid="{7C52538B-7EEB-4E35-A0FB-38BB08E182BE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1" tint="0.24994659260841701"/>
        </left>
        <right/>
        <top style="thin">
          <color theme="1" tint="0.24994659260841701"/>
        </top>
        <bottom style="thin">
          <color theme="1" tint="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33" formatCode="_-* #,##0_-;\-* #,##0_-;_-* &quot;-&quot;_-;_-@_-"/>
      <border diagonalUp="0" diagonalDown="0" outline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33" formatCode="_-* #,##0_-;\-* #,##0_-;_-* &quot;-&quot;_-;_-@_-"/>
      <border diagonalUp="0" diagonalDown="0" outline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distributed" vertical="center" textRotation="0" wrapText="0" indent="1" justifyLastLine="0" shrinkToFit="0" readingOrder="0"/>
      <border diagonalUp="0" diagonalDown="0" outline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distributed" vertical="center" textRotation="0" wrapText="0" indent="1" justifyLastLine="0" shrinkToFit="0" readingOrder="0"/>
      <border diagonalUp="0" diagonalDown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2" formatCode="General&quot;월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2" formatCode="General&quot;월&quot;"/>
      <alignment horizontal="center" vertical="center" textRotation="0" wrapText="0" indent="0" justifyLastLine="0" shrinkToFit="0" readingOrder="0"/>
      <border diagonalUp="0" diagonalDown="0" outline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1" formatCode="General&quot;분&quot;&quot;기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0" formatCode="mm\/dd"/>
      <alignment horizontal="center" vertical="center" textRotation="0" wrapText="0" indent="0" justifyLastLine="0" shrinkToFit="0" readingOrder="0"/>
      <border diagonalUp="0" diagonalDown="0" outline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 tint="0.24994659260841701"/>
        </right>
        <top style="thin">
          <color theme="1" tint="0.2499465926084170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border outline="0">
        <top style="thin">
          <color theme="1" tint="0.24994659260841701"/>
        </top>
      </border>
    </dxf>
    <dxf>
      <border outline="0"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</border>
    </dxf>
    <dxf>
      <border outline="0">
        <bottom style="thin">
          <color theme="1" tint="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24994659260841701"/>
        </left>
        <right style="thin">
          <color theme="1" tint="0.24994659260841701"/>
        </right>
        <top/>
        <bottom/>
      </border>
    </dxf>
  </dxfs>
  <tableStyles count="0" defaultTableStyle="TableStyleMedium2" defaultPivotStyle="PivotStyleLight16"/>
  <colors>
    <mruColors>
      <color rgb="FFFFF8E5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343775" y="0"/>
    <xdr:ext cx="933450" cy="495182"/>
    <xdr:pic>
      <xdr:nvPicPr>
        <xdr:cNvPr id="2" name="그림 1" descr="Excel 로고">
          <a:extLst>
            <a:ext uri="{FF2B5EF4-FFF2-40B4-BE49-F238E27FC236}">
              <a16:creationId xmlns:a16="http://schemas.microsoft.com/office/drawing/2014/main" id="{9356F0F2-25C5-4E97-B672-85171E57B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3775" y="0"/>
          <a:ext cx="933450" cy="495182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504826</xdr:colOff>
      <xdr:row>18</xdr:row>
      <xdr:rowOff>117661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05770E5A-96B9-4C1E-A52F-C1C4D826E989}"/>
            </a:ext>
          </a:extLst>
        </xdr:cNvPr>
        <xdr:cNvGrpSpPr/>
      </xdr:nvGrpSpPr>
      <xdr:grpSpPr>
        <a:xfrm>
          <a:off x="5401235" y="526676"/>
          <a:ext cx="5379385" cy="3524250"/>
          <a:chOff x="12439650" y="1294892"/>
          <a:chExt cx="3933826" cy="3209924"/>
        </a:xfrm>
      </xdr:grpSpPr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8806C93D-5FD4-4CE5-BAAC-738E3E636ABD}"/>
              </a:ext>
            </a:extLst>
          </xdr:cNvPr>
          <xdr:cNvSpPr/>
        </xdr:nvSpPr>
        <xdr:spPr>
          <a:xfrm>
            <a:off x="12439650" y="1294892"/>
            <a:ext cx="3933826" cy="3209924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 b="1">
                <a:solidFill>
                  <a:sysClr val="windowText" lastClr="000000"/>
                </a:solidFill>
              </a:rPr>
              <a:t>Q: </a:t>
            </a:r>
            <a:r>
              <a:rPr lang="ko-KR" altLang="en-US" sz="1100" b="1">
                <a:solidFill>
                  <a:sysClr val="windowText" lastClr="000000"/>
                </a:solidFill>
              </a:rPr>
              <a:t>사용자 지정목록을 자동채우기로 채우기</a:t>
            </a:r>
            <a:endParaRPr lang="en-US" altLang="ko-KR" sz="1100" b="1">
              <a:solidFill>
                <a:sysClr val="windowText" lastClr="000000"/>
              </a:solidFill>
            </a:endParaRPr>
          </a:p>
          <a:p>
            <a:pPr algn="l"/>
            <a:r>
              <a:rPr lang="en-US" altLang="ko-KR" sz="1100" b="1">
                <a:solidFill>
                  <a:sysClr val="windowText" lastClr="000000"/>
                </a:solidFill>
              </a:rPr>
              <a:t>A: </a:t>
            </a:r>
            <a:r>
              <a:rPr lang="ko-KR" altLang="en-US" sz="1100" b="1">
                <a:solidFill>
                  <a:sysClr val="windowText" lastClr="000000"/>
                </a:solidFill>
              </a:rPr>
              <a:t>사용자 지정목록 생성 후 자동채우기</a:t>
            </a:r>
            <a:r>
              <a:rPr lang="en-US" altLang="ko-KR" sz="1100" b="1">
                <a:solidFill>
                  <a:sysClr val="windowText" lastClr="000000"/>
                </a:solidFill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</a:rPr>
              <a:t>범위잡고 </a:t>
            </a:r>
            <a:r>
              <a:rPr lang="en-US" altLang="ko-KR" sz="1100" b="1">
                <a:solidFill>
                  <a:sysClr val="windowText" lastClr="000000"/>
                </a:solidFill>
              </a:rPr>
              <a:t>Ctrl</a:t>
            </a:r>
            <a:r>
              <a:rPr lang="en-US" altLang="ko-KR" sz="1100" b="1" baseline="0">
                <a:solidFill>
                  <a:sysClr val="windowText" lastClr="000000"/>
                </a:solidFill>
              </a:rPr>
              <a:t> + E)</a:t>
            </a:r>
            <a:endParaRPr lang="en-US" altLang="ko-KR" sz="1100" b="1">
              <a:solidFill>
                <a:sysClr val="windowText" lastClr="000000"/>
              </a:solidFill>
            </a:endParaRPr>
          </a:p>
          <a:p>
            <a:pPr algn="l"/>
            <a:r>
              <a:rPr lang="ko-KR" altLang="en-US" sz="1100">
                <a:solidFill>
                  <a:sysClr val="windowText" lastClr="000000"/>
                </a:solidFill>
              </a:rPr>
              <a:t>① 파일 </a:t>
            </a:r>
            <a:r>
              <a:rPr lang="en-US" altLang="ko-KR" sz="1100">
                <a:solidFill>
                  <a:sysClr val="windowText" lastClr="000000"/>
                </a:solidFill>
              </a:rPr>
              <a:t>&gt; </a:t>
            </a:r>
            <a:r>
              <a:rPr lang="ko-KR" altLang="en-US" sz="1100">
                <a:solidFill>
                  <a:sysClr val="windowText" lastClr="000000"/>
                </a:solidFill>
              </a:rPr>
              <a:t>옵션 </a:t>
            </a:r>
            <a:endParaRPr lang="en-US" altLang="ko-KR" sz="1100">
              <a:solidFill>
                <a:sysClr val="windowText" lastClr="000000"/>
              </a:solidFill>
            </a:endParaRPr>
          </a:p>
          <a:p>
            <a:pPr algn="l"/>
            <a:r>
              <a:rPr lang="ko-KR" altLang="en-US" sz="1100">
                <a:solidFill>
                  <a:sysClr val="windowText" lastClr="000000"/>
                </a:solidFill>
              </a:rPr>
              <a:t>②</a:t>
            </a:r>
            <a:r>
              <a:rPr lang="en-US" altLang="ko-KR" sz="1100">
                <a:solidFill>
                  <a:sysClr val="windowText" lastClr="000000"/>
                </a:solidFill>
              </a:rPr>
              <a:t> </a:t>
            </a:r>
            <a:r>
              <a:rPr lang="ko-KR" altLang="en-US" sz="1100">
                <a:solidFill>
                  <a:sysClr val="windowText" lastClr="000000"/>
                </a:solidFill>
              </a:rPr>
              <a:t>고급</a:t>
            </a:r>
            <a:r>
              <a:rPr lang="en-US" altLang="ko-KR" sz="1100">
                <a:solidFill>
                  <a:sysClr val="windowText" lastClr="000000"/>
                </a:solidFill>
              </a:rPr>
              <a:t>  &gt; </a:t>
            </a:r>
            <a:r>
              <a:rPr lang="ko-KR" altLang="en-US" sz="1100">
                <a:solidFill>
                  <a:sysClr val="windowText" lastClr="000000"/>
                </a:solidFill>
              </a:rPr>
              <a:t>사용자 지정 목록 편집</a:t>
            </a:r>
            <a:r>
              <a:rPr lang="en-US" altLang="ko-KR" sz="1100">
                <a:solidFill>
                  <a:sysClr val="windowText" lastClr="000000"/>
                </a:solidFill>
              </a:rPr>
              <a:t> </a:t>
            </a:r>
          </a:p>
          <a:p>
            <a:pPr algn="l"/>
            <a:r>
              <a:rPr lang="ko-KR" altLang="en-US" sz="1100">
                <a:solidFill>
                  <a:sysClr val="windowText" lastClr="000000"/>
                </a:solidFill>
              </a:rPr>
              <a:t>③  목록 가져올 범위 지정</a:t>
            </a:r>
          </a:p>
        </xdr:txBody>
      </xdr:sp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1A61BDE4-F0D4-42EC-9455-4F7AECC59F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715875" y="2511176"/>
            <a:ext cx="3267075" cy="165704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45</xdr:row>
      <xdr:rowOff>0</xdr:rowOff>
    </xdr:from>
    <xdr:to>
      <xdr:col>5</xdr:col>
      <xdr:colOff>219637</xdr:colOff>
      <xdr:row>50</xdr:row>
      <xdr:rowOff>179294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B3724631-3F78-40EE-A7B6-88B58429F4FF}"/>
            </a:ext>
          </a:extLst>
        </xdr:cNvPr>
        <xdr:cNvSpPr/>
      </xdr:nvSpPr>
      <xdr:spPr>
        <a:xfrm>
          <a:off x="683559" y="9681882"/>
          <a:ext cx="4937313" cy="124385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Q: </a:t>
          </a:r>
          <a:r>
            <a:rPr lang="ko-KR" altLang="en-US" sz="1100" b="1">
              <a:solidFill>
                <a:sysClr val="windowText" lastClr="000000"/>
              </a:solidFill>
            </a:rPr>
            <a:t>빈셀을 자동채우기로 채우기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A: </a:t>
          </a:r>
          <a:r>
            <a:rPr lang="ko-KR" altLang="en-US" sz="1100" b="1">
              <a:solidFill>
                <a:sysClr val="windowText" lastClr="000000"/>
              </a:solidFill>
            </a:rPr>
            <a:t>자동채우기</a:t>
          </a:r>
          <a:r>
            <a:rPr lang="en-US" altLang="ko-KR" sz="1100" b="1">
              <a:solidFill>
                <a:sysClr val="windowText" lastClr="000000"/>
              </a:solidFill>
            </a:rPr>
            <a:t>(</a:t>
          </a:r>
          <a:r>
            <a:rPr lang="ko-KR" altLang="en-US" sz="1100" b="1">
              <a:solidFill>
                <a:sysClr val="windowText" lastClr="000000"/>
              </a:solidFill>
            </a:rPr>
            <a:t>범위잡고 </a:t>
          </a:r>
          <a:r>
            <a:rPr lang="en-US" altLang="ko-KR" sz="1100" b="1">
              <a:solidFill>
                <a:sysClr val="windowText" lastClr="000000"/>
              </a:solidFill>
            </a:rPr>
            <a:t>Ctrl</a:t>
          </a:r>
          <a:r>
            <a:rPr lang="en-US" altLang="ko-KR" sz="1100" b="1" baseline="0">
              <a:solidFill>
                <a:sysClr val="windowText" lastClr="000000"/>
              </a:solidFill>
            </a:rPr>
            <a:t> + E)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Hint</a:t>
          </a:r>
          <a:r>
            <a:rPr lang="en-US" altLang="ko-KR" sz="110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ko-KR" altLang="en-US" sz="1100">
              <a:solidFill>
                <a:sysClr val="windowText" lastClr="000000"/>
              </a:solidFill>
            </a:rPr>
            <a:t>① 자동채우기</a:t>
          </a:r>
          <a:r>
            <a:rPr lang="ko-KR" altLang="en-US" sz="1100" baseline="0">
              <a:solidFill>
                <a:sysClr val="windowText" lastClr="000000"/>
              </a:solidFill>
            </a:rPr>
            <a:t> 값이 이상한 경우 샘플값을 더 넣고 자동채우기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②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바꾸기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(Ctrl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+ H)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로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공백은 없애고 자동채우기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571498</xdr:colOff>
      <xdr:row>1</xdr:row>
      <xdr:rowOff>179294</xdr:rowOff>
    </xdr:from>
    <xdr:to>
      <xdr:col>16</xdr:col>
      <xdr:colOff>67235</xdr:colOff>
      <xdr:row>4</xdr:row>
      <xdr:rowOff>190500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55B2F67-2000-42B7-AA38-41DC533C8B81}"/>
            </a:ext>
          </a:extLst>
        </xdr:cNvPr>
        <xdr:cNvSpPr/>
      </xdr:nvSpPr>
      <xdr:spPr>
        <a:xfrm>
          <a:off x="7440704" y="493059"/>
          <a:ext cx="5468472" cy="649941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Q: </a:t>
          </a:r>
          <a:r>
            <a:rPr lang="ko-KR" altLang="en-US" sz="1100" b="1">
              <a:solidFill>
                <a:sysClr val="windowText" lastClr="000000"/>
              </a:solidFill>
            </a:rPr>
            <a:t>표 </a:t>
          </a:r>
          <a:r>
            <a:rPr lang="en-US" altLang="ko-KR" sz="1100" b="1">
              <a:solidFill>
                <a:sysClr val="windowText" lastClr="000000"/>
              </a:solidFill>
            </a:rPr>
            <a:t>2</a:t>
          </a:r>
          <a:r>
            <a:rPr lang="ko-KR" altLang="en-US" sz="1100" b="1">
              <a:solidFill>
                <a:sysClr val="windowText" lastClr="000000"/>
              </a:solidFill>
            </a:rPr>
            <a:t>개 내용에 채워진 셀 값을 빈표에 채우기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A: </a:t>
          </a:r>
          <a:r>
            <a:rPr lang="ko-KR" altLang="en-US" sz="1100" b="1">
              <a:solidFill>
                <a:sysClr val="windowText" lastClr="000000"/>
              </a:solidFill>
            </a:rPr>
            <a:t>복사</a:t>
          </a:r>
          <a:r>
            <a:rPr lang="ko-KR" altLang="en-US" sz="1100" b="1" baseline="0">
              <a:solidFill>
                <a:sysClr val="windowText" lastClr="000000"/>
              </a:solidFill>
            </a:rPr>
            <a:t>해서 선택하여 붙여넣기</a:t>
          </a:r>
          <a:r>
            <a:rPr lang="en-US" altLang="ko-KR" sz="1100" b="1" baseline="0">
              <a:solidFill>
                <a:sysClr val="windowText" lastClr="000000"/>
              </a:solidFill>
            </a:rPr>
            <a:t>(</a:t>
          </a:r>
          <a:r>
            <a:rPr lang="ko-KR" altLang="en-US" sz="1100" b="1" baseline="0">
              <a:solidFill>
                <a:sysClr val="windowText" lastClr="000000"/>
              </a:solidFill>
            </a:rPr>
            <a:t>내용있는 셀만 붙여넣기 옵션</a:t>
          </a:r>
          <a:r>
            <a:rPr lang="en-US" altLang="ko-KR" sz="1100" b="1" baseline="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56029</xdr:colOff>
      <xdr:row>12</xdr:row>
      <xdr:rowOff>11206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125EAD0-EDFB-418C-BCC4-7CF573956EAD}"/>
            </a:ext>
          </a:extLst>
        </xdr:cNvPr>
        <xdr:cNvSpPr/>
      </xdr:nvSpPr>
      <xdr:spPr>
        <a:xfrm>
          <a:off x="683559" y="2017059"/>
          <a:ext cx="4325470" cy="649941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Q: 5~6</a:t>
          </a:r>
          <a:r>
            <a:rPr lang="ko-KR" altLang="en-US" sz="1100" b="1">
              <a:solidFill>
                <a:sysClr val="windowText" lastClr="000000"/>
              </a:solidFill>
            </a:rPr>
            <a:t>행이 숨겨져 있는데 보이는 셀만 복사하기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A: </a:t>
          </a:r>
          <a:r>
            <a:rPr lang="ko-KR" altLang="en-US" sz="1100" b="1">
              <a:solidFill>
                <a:sysClr val="windowText" lastClr="000000"/>
              </a:solidFill>
            </a:rPr>
            <a:t>보이는 셀만 복사하기</a:t>
          </a:r>
          <a:r>
            <a:rPr lang="en-US" altLang="ko-KR" sz="1100" b="1">
              <a:solidFill>
                <a:sysClr val="windowText" lastClr="000000"/>
              </a:solidFill>
            </a:rPr>
            <a:t>(Alt+;)</a:t>
          </a:r>
          <a:r>
            <a:rPr lang="en-US" altLang="ko-KR" sz="1100" b="1" baseline="0">
              <a:solidFill>
                <a:sysClr val="windowText" lastClr="000000"/>
              </a:solidFill>
            </a:rPr>
            <a:t> </a:t>
          </a:r>
          <a:r>
            <a:rPr lang="ko-KR" altLang="en-US" sz="1100" b="1" baseline="0">
              <a:solidFill>
                <a:sysClr val="windowText" lastClr="000000"/>
              </a:solidFill>
            </a:rPr>
            <a:t>클릭 후 </a:t>
          </a:r>
          <a:r>
            <a:rPr lang="en-US" altLang="ko-KR" sz="1100" b="1" baseline="0">
              <a:solidFill>
                <a:sysClr val="windowText" lastClr="000000"/>
              </a:solidFill>
            </a:rPr>
            <a:t>Ctrl + C, V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212910</xdr:rowOff>
    </xdr:from>
    <xdr:to>
      <xdr:col>7</xdr:col>
      <xdr:colOff>56029</xdr:colOff>
      <xdr:row>16</xdr:row>
      <xdr:rowOff>56030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3CD334A-7982-4F02-BE2E-8D29C8222E02}"/>
            </a:ext>
          </a:extLst>
        </xdr:cNvPr>
        <xdr:cNvSpPr/>
      </xdr:nvSpPr>
      <xdr:spPr>
        <a:xfrm>
          <a:off x="683559" y="2734234"/>
          <a:ext cx="4560794" cy="112059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2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개 시트 값 지점명 중 서울을 경기로 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번에 변경하기</a:t>
          </a:r>
          <a:endParaRPr lang="en-US" altLang="ko-KR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A: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시트를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Shift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로 묶은 다음 셀 값 수정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Q</a:t>
          </a:r>
          <a:r>
            <a:rPr lang="en-US" altLang="ko-KR" sz="1100" b="1" baseline="0">
              <a:solidFill>
                <a:sysClr val="windowText" lastClr="000000"/>
              </a:solidFill>
            </a:rPr>
            <a:t>: 2</a:t>
          </a:r>
          <a:r>
            <a:rPr lang="ko-KR" altLang="en-US" sz="1100" b="1" baseline="0">
              <a:solidFill>
                <a:sysClr val="windowText" lastClr="000000"/>
              </a:solidFill>
            </a:rPr>
            <a:t>개 시트 값을 그룹으로 지정하여 한번에 계산</a:t>
          </a:r>
          <a:r>
            <a:rPr lang="en-US" altLang="ko-KR" sz="1100" b="1" baseline="0">
              <a:solidFill>
                <a:sysClr val="windowText" lastClr="000000"/>
              </a:solidFill>
            </a:rPr>
            <a:t>(</a:t>
          </a:r>
          <a:r>
            <a:rPr lang="ko-KR" altLang="en-US" sz="1100" b="1" baseline="0">
              <a:solidFill>
                <a:sysClr val="windowText" lastClr="000000"/>
              </a:solidFill>
            </a:rPr>
            <a:t>합</a:t>
          </a:r>
          <a:r>
            <a:rPr lang="en-US" altLang="ko-KR" sz="1100" b="1" baseline="0">
              <a:solidFill>
                <a:sysClr val="windowText" lastClr="000000"/>
              </a:solidFill>
            </a:rPr>
            <a:t>, </a:t>
          </a:r>
          <a:r>
            <a:rPr lang="ko-KR" altLang="en-US" sz="1100" b="1" baseline="0">
              <a:solidFill>
                <a:sysClr val="windowText" lastClr="000000"/>
              </a:solidFill>
            </a:rPr>
            <a:t>곱 등</a:t>
          </a:r>
          <a:r>
            <a:rPr lang="en-US" altLang="ko-KR" sz="1100" b="1" baseline="0">
              <a:solidFill>
                <a:sysClr val="windowText" lastClr="000000"/>
              </a:solidFill>
            </a:rPr>
            <a:t>) </a:t>
          </a:r>
          <a:r>
            <a:rPr lang="ko-KR" altLang="en-US" sz="1100" b="1" baseline="0">
              <a:solidFill>
                <a:sysClr val="windowText" lastClr="000000"/>
              </a:solidFill>
            </a:rPr>
            <a:t>하기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A: </a:t>
          </a:r>
          <a:r>
            <a:rPr lang="ko-KR" altLang="en-US" sz="1100" b="1">
              <a:solidFill>
                <a:sysClr val="windowText" lastClr="000000"/>
              </a:solidFill>
            </a:rPr>
            <a:t>데이터 </a:t>
          </a:r>
          <a:r>
            <a:rPr lang="en-US" altLang="ko-KR" sz="1100" b="1">
              <a:solidFill>
                <a:sysClr val="windowText" lastClr="000000"/>
              </a:solidFill>
            </a:rPr>
            <a:t>&gt; </a:t>
          </a:r>
          <a:r>
            <a:rPr lang="ko-KR" altLang="en-US" sz="1100" b="1">
              <a:solidFill>
                <a:sysClr val="windowText" lastClr="000000"/>
              </a:solidFill>
            </a:rPr>
            <a:t>통합 기능 사용</a:t>
          </a:r>
          <a:endParaRPr lang="en-US" altLang="ko-KR" sz="1100" b="1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212910</xdr:rowOff>
    </xdr:from>
    <xdr:to>
      <xdr:col>7</xdr:col>
      <xdr:colOff>56029</xdr:colOff>
      <xdr:row>16</xdr:row>
      <xdr:rowOff>56030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558ADF-3E3C-4BB7-A100-9F935AD84A4E}"/>
            </a:ext>
          </a:extLst>
        </xdr:cNvPr>
        <xdr:cNvSpPr/>
      </xdr:nvSpPr>
      <xdr:spPr>
        <a:xfrm>
          <a:off x="685800" y="2698935"/>
          <a:ext cx="4561354" cy="110042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2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개 시트 값 지점명 중 서울을 경기로 </a:t>
          </a:r>
          <a:r>
            <a:rPr lang="en-US" altLang="ko-KR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번에 변경하기</a:t>
          </a:r>
          <a:endParaRPr lang="en-US" altLang="ko-KR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A: 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시트를 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Shift</a:t>
          </a:r>
          <a:r>
            <a:rPr lang="ko-KR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로 묶은 다음 셀 값 수정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Q</a:t>
          </a:r>
          <a:r>
            <a:rPr lang="en-US" altLang="ko-KR" sz="1100" b="1" baseline="0">
              <a:solidFill>
                <a:sysClr val="windowText" lastClr="000000"/>
              </a:solidFill>
            </a:rPr>
            <a:t>: 2</a:t>
          </a:r>
          <a:r>
            <a:rPr lang="ko-KR" altLang="en-US" sz="1100" b="1" baseline="0">
              <a:solidFill>
                <a:sysClr val="windowText" lastClr="000000"/>
              </a:solidFill>
            </a:rPr>
            <a:t>개 시트 값을 그룹으로 지정하여 한번에 계산</a:t>
          </a:r>
          <a:r>
            <a:rPr lang="en-US" altLang="ko-KR" sz="1100" b="1" baseline="0">
              <a:solidFill>
                <a:sysClr val="windowText" lastClr="000000"/>
              </a:solidFill>
            </a:rPr>
            <a:t>(</a:t>
          </a:r>
          <a:r>
            <a:rPr lang="ko-KR" altLang="en-US" sz="1100" b="1" baseline="0">
              <a:solidFill>
                <a:sysClr val="windowText" lastClr="000000"/>
              </a:solidFill>
            </a:rPr>
            <a:t>합</a:t>
          </a:r>
          <a:r>
            <a:rPr lang="en-US" altLang="ko-KR" sz="1100" b="1" baseline="0">
              <a:solidFill>
                <a:sysClr val="windowText" lastClr="000000"/>
              </a:solidFill>
            </a:rPr>
            <a:t>, </a:t>
          </a:r>
          <a:r>
            <a:rPr lang="ko-KR" altLang="en-US" sz="1100" b="1" baseline="0">
              <a:solidFill>
                <a:sysClr val="windowText" lastClr="000000"/>
              </a:solidFill>
            </a:rPr>
            <a:t>곱 등</a:t>
          </a:r>
          <a:r>
            <a:rPr lang="en-US" altLang="ko-KR" sz="1100" b="1" baseline="0">
              <a:solidFill>
                <a:sysClr val="windowText" lastClr="000000"/>
              </a:solidFill>
            </a:rPr>
            <a:t>) </a:t>
          </a:r>
          <a:r>
            <a:rPr lang="ko-KR" altLang="en-US" sz="1100" b="1" baseline="0">
              <a:solidFill>
                <a:sysClr val="windowText" lastClr="000000"/>
              </a:solidFill>
            </a:rPr>
            <a:t>하기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l"/>
          <a:r>
            <a:rPr lang="en-US" altLang="ko-KR" sz="1100" b="1">
              <a:solidFill>
                <a:sysClr val="windowText" lastClr="000000"/>
              </a:solidFill>
            </a:rPr>
            <a:t>A: </a:t>
          </a:r>
          <a:r>
            <a:rPr lang="ko-KR" altLang="en-US" sz="1100" b="1">
              <a:solidFill>
                <a:sysClr val="windowText" lastClr="000000"/>
              </a:solidFill>
            </a:rPr>
            <a:t>데이터 </a:t>
          </a:r>
          <a:r>
            <a:rPr lang="en-US" altLang="ko-KR" sz="1100" b="1">
              <a:solidFill>
                <a:sysClr val="windowText" lastClr="000000"/>
              </a:solidFill>
            </a:rPr>
            <a:t>&gt; </a:t>
          </a:r>
          <a:r>
            <a:rPr lang="ko-KR" altLang="en-US" sz="1100" b="1">
              <a:solidFill>
                <a:sysClr val="windowText" lastClr="000000"/>
              </a:solidFill>
            </a:rPr>
            <a:t>통합 기능 사용</a:t>
          </a:r>
          <a:endParaRPr lang="en-US" altLang="ko-KR" sz="1100" b="1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12</xdr:col>
      <xdr:colOff>628650</xdr:colOff>
      <xdr:row>25</xdr:row>
      <xdr:rowOff>57150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52BFB54-F851-44FE-BE3A-BDCB923D4DCE}"/>
            </a:ext>
          </a:extLst>
        </xdr:cNvPr>
        <xdr:cNvGrpSpPr/>
      </xdr:nvGrpSpPr>
      <xdr:grpSpPr>
        <a:xfrm>
          <a:off x="7210425" y="0"/>
          <a:ext cx="4429125" cy="5962650"/>
          <a:chOff x="10572749" y="1"/>
          <a:chExt cx="4479313" cy="59626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FDBEBDAC-42C6-46BF-BEF1-0F4D82008290}"/>
              </a:ext>
            </a:extLst>
          </xdr:cNvPr>
          <xdr:cNvSpPr/>
        </xdr:nvSpPr>
        <xdr:spPr>
          <a:xfrm>
            <a:off x="10572749" y="1"/>
            <a:ext cx="4479313" cy="596265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050" b="1"/>
          </a:p>
          <a:p>
            <a:pPr algn="l"/>
            <a:endParaRPr lang="en-US" altLang="ko-KR" sz="1050" b="1"/>
          </a:p>
          <a:p>
            <a:pPr algn="l"/>
            <a:r>
              <a:rPr lang="ko-KR" altLang="en-US" sz="1050" b="0"/>
              <a:t>①</a:t>
            </a:r>
            <a:r>
              <a:rPr lang="en-US" altLang="ko-KR" sz="1050" b="0"/>
              <a:t> C2</a:t>
            </a:r>
            <a:r>
              <a:rPr lang="ko-KR" altLang="en-US" sz="1050" b="0"/>
              <a:t>셀에 </a:t>
            </a:r>
            <a:r>
              <a:rPr lang="en-US" altLang="ko-KR" sz="1050" b="0"/>
              <a:t>[</a:t>
            </a:r>
            <a:r>
              <a:rPr lang="ko-KR" altLang="en-US" sz="1050" b="0"/>
              <a:t>데이터 </a:t>
            </a:r>
            <a:r>
              <a:rPr lang="en-US" altLang="ko-KR" sz="1050" b="0"/>
              <a:t>&gt; </a:t>
            </a:r>
            <a:r>
              <a:rPr lang="ko-KR" altLang="en-US" sz="1050" b="0"/>
              <a:t>데이터 유효성 검사</a:t>
            </a:r>
            <a:r>
              <a:rPr lang="en-US" altLang="ko-KR" sz="1050" b="0"/>
              <a:t>]</a:t>
            </a:r>
          </a:p>
          <a:p>
            <a:pPr algn="l"/>
            <a:endParaRPr lang="en-US" altLang="ko-KR" sz="1050" b="0"/>
          </a:p>
          <a:p>
            <a:pPr algn="l"/>
            <a:r>
              <a:rPr lang="en-US" altLang="ko-KR" sz="1050" b="0"/>
              <a:t> </a:t>
            </a:r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r>
              <a:rPr lang="ko-KR" altLang="en-US" sz="1050" b="0"/>
              <a:t>② </a:t>
            </a:r>
            <a:r>
              <a:rPr lang="en-US" altLang="ko-KR" sz="1050" b="0"/>
              <a:t>B7</a:t>
            </a:r>
            <a:r>
              <a:rPr lang="ko-KR" altLang="en-US" sz="1050" b="0"/>
              <a:t>셀에 수식 작성</a:t>
            </a:r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endParaRPr lang="en-US" altLang="ko-KR" sz="1050" b="0"/>
          </a:p>
          <a:p>
            <a:pPr algn="l"/>
            <a:r>
              <a:rPr lang="ko-KR" altLang="en-US" sz="1050" b="0"/>
              <a:t>③ 수식을 복사한 후 부서</a:t>
            </a:r>
            <a:r>
              <a:rPr lang="en-US" altLang="ko-KR" sz="1050" b="0"/>
              <a:t>, </a:t>
            </a:r>
            <a:r>
              <a:rPr lang="ko-KR" altLang="en-US" sz="1050" b="0"/>
              <a:t>직급</a:t>
            </a:r>
            <a:r>
              <a:rPr lang="en-US" altLang="ko-KR" sz="1050" b="0"/>
              <a:t>, </a:t>
            </a:r>
            <a:r>
              <a:rPr lang="ko-KR" altLang="en-US" sz="1050" b="0"/>
              <a:t>주소</a:t>
            </a:r>
            <a:r>
              <a:rPr lang="en-US" altLang="ko-KR" sz="1050" b="0"/>
              <a:t>, </a:t>
            </a:r>
            <a:r>
              <a:rPr lang="ko-KR" altLang="en-US" sz="1050" b="0"/>
              <a:t>연락처의  열번호만 변경</a:t>
            </a:r>
            <a:endParaRPr lang="en-US" altLang="ko-KR" sz="1050" b="0"/>
          </a:p>
        </xdr:txBody>
      </xdr:sp>
      <xdr:pic>
        <xdr:nvPicPr>
          <xdr:cNvPr id="4" name="그림 3">
            <a:extLst>
              <a:ext uri="{FF2B5EF4-FFF2-40B4-BE49-F238E27FC236}">
                <a16:creationId xmlns:a16="http://schemas.microsoft.com/office/drawing/2014/main" id="{AAA06E87-36B7-4542-86DF-8700D03D98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744201" y="876300"/>
            <a:ext cx="1735869" cy="2380952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61969542-0724-4737-8B43-4DF546B1E7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801350" y="3619500"/>
            <a:ext cx="2400000" cy="1371429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47625</xdr:colOff>
      <xdr:row>2</xdr:row>
      <xdr:rowOff>1</xdr:rowOff>
    </xdr:from>
    <xdr:to>
      <xdr:col>2</xdr:col>
      <xdr:colOff>647700</xdr:colOff>
      <xdr:row>6</xdr:row>
      <xdr:rowOff>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OrdMonth">
              <a:extLst>
                <a:ext uri="{FF2B5EF4-FFF2-40B4-BE49-F238E27FC236}">
                  <a16:creationId xmlns:a16="http://schemas.microsoft.com/office/drawing/2014/main" id="{13603880-7D08-40FF-806E-883ABE6229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" y="476251"/>
              <a:ext cx="1304925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676275</xdr:colOff>
      <xdr:row>2</xdr:row>
      <xdr:rowOff>1</xdr:rowOff>
    </xdr:from>
    <xdr:to>
      <xdr:col>4</xdr:col>
      <xdr:colOff>733425</xdr:colOff>
      <xdr:row>7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Resellercode">
              <a:extLst>
                <a:ext uri="{FF2B5EF4-FFF2-40B4-BE49-F238E27FC236}">
                  <a16:creationId xmlns:a16="http://schemas.microsoft.com/office/drawing/2014/main" id="{5594FA22-404F-4904-929B-E9317B4386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ellerc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1150" y="476251"/>
              <a:ext cx="1828800" cy="14954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13</xdr:col>
      <xdr:colOff>104775</xdr:colOff>
      <xdr:row>2</xdr:row>
      <xdr:rowOff>0</xdr:rowOff>
    </xdr:from>
    <xdr:to>
      <xdr:col>15</xdr:col>
      <xdr:colOff>685800</xdr:colOff>
      <xdr:row>7</xdr:row>
      <xdr:rowOff>180975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988FD97-CF1E-4CB6-B52E-BDF45AEDA77C}"/>
            </a:ext>
          </a:extLst>
        </xdr:cNvPr>
        <xdr:cNvSpPr/>
      </xdr:nvSpPr>
      <xdr:spPr>
        <a:xfrm>
          <a:off x="4876800" y="4924425"/>
          <a:ext cx="2114550" cy="1419225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 b="1"/>
            <a:t>SUBTOTAL</a:t>
          </a:r>
          <a:r>
            <a:rPr lang="en-US" altLang="ko-KR" sz="1100" b="1" baseline="0"/>
            <a:t> </a:t>
          </a:r>
          <a:r>
            <a:rPr lang="ko-KR" altLang="en-US" sz="1100" b="1" baseline="0"/>
            <a:t>함수</a:t>
          </a:r>
          <a:endParaRPr lang="en-US" altLang="ko-KR" sz="1100" b="1" baseline="0"/>
        </a:p>
        <a:p>
          <a:pPr algn="l"/>
          <a:r>
            <a:rPr lang="ko-KR" altLang="en-US" sz="1100" b="0" baseline="0"/>
            <a:t>수식 </a:t>
          </a:r>
          <a:r>
            <a:rPr lang="en-US" altLang="ko-KR" sz="1100" b="0" baseline="0"/>
            <a:t>&gt; </a:t>
          </a:r>
          <a:r>
            <a:rPr lang="ko-KR" altLang="en-US" sz="1100" b="0" baseline="0"/>
            <a:t>수학</a:t>
          </a:r>
          <a:r>
            <a:rPr lang="en-US" altLang="ko-KR" sz="1100" b="0" baseline="0"/>
            <a:t>/</a:t>
          </a:r>
          <a:r>
            <a:rPr lang="ko-KR" altLang="en-US" sz="1100" b="0" baseline="0"/>
            <a:t>삼각</a:t>
          </a:r>
          <a:endParaRPr lang="en-US" altLang="ko-KR" sz="1100" b="0" baseline="0"/>
        </a:p>
        <a:p>
          <a:pPr algn="l"/>
          <a:r>
            <a:rPr lang="en-US" altLang="ko-KR" sz="1100" b="0" baseline="0"/>
            <a:t>= Subtotal(</a:t>
          </a:r>
          <a:r>
            <a:rPr lang="ko-KR" altLang="en-US" sz="1100" b="0" baseline="0"/>
            <a:t>함수번호</a:t>
          </a:r>
          <a:r>
            <a:rPr lang="en-US" altLang="ko-KR" sz="1100" b="0" baseline="0"/>
            <a:t>, </a:t>
          </a:r>
          <a:r>
            <a:rPr lang="ko-KR" altLang="en-US" sz="1100" b="0" baseline="0"/>
            <a:t>영역</a:t>
          </a:r>
          <a:r>
            <a:rPr lang="en-US" altLang="ko-KR" sz="1100" b="0" baseline="0"/>
            <a:t>)</a:t>
          </a:r>
        </a:p>
        <a:p>
          <a:pPr algn="l"/>
          <a:r>
            <a:rPr lang="en-US" altLang="ko-KR" sz="1100" b="0" baseline="0"/>
            <a:t>1 ~ 11     </a:t>
          </a:r>
          <a:r>
            <a:rPr lang="ko-KR" altLang="en-US" sz="1100" b="0" baseline="0"/>
            <a:t>숨겨진 값 포함</a:t>
          </a:r>
          <a:endParaRPr lang="en-US" altLang="ko-KR" sz="1100" b="0" baseline="0"/>
        </a:p>
        <a:p>
          <a:pPr algn="l"/>
          <a:r>
            <a:rPr lang="en-US" altLang="ko-KR" sz="1100" b="0" baseline="0"/>
            <a:t>101~111 </a:t>
          </a:r>
          <a:r>
            <a:rPr lang="ko-KR" altLang="en-US" sz="1100" b="0" baseline="0"/>
            <a:t>숨겨진 값 무시</a:t>
          </a:r>
          <a:endParaRPr lang="en-US" altLang="ko-KR" sz="1100" b="1" baseline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0641;&#49472;&#49892;&#49845;/9.Function_V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들어가기"/>
      <sheetName val="1.시작하기"/>
      <sheetName val="2.찾기참조"/>
      <sheetName val="3.찾기참조"/>
      <sheetName val="4.찾기참조"/>
      <sheetName val="5.찾기참조"/>
      <sheetName val="6.두개의 조건만족"/>
      <sheetName val="7_1.직원정보"/>
      <sheetName val="7_2.인적사항"/>
      <sheetName val="8.정보조회"/>
      <sheetName val="9_1.찾기참조"/>
      <sheetName val="9_2.기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>사번</v>
          </cell>
          <cell r="C2" t="str">
            <v>성명</v>
          </cell>
          <cell r="D2" t="str">
            <v>주민등록번호</v>
          </cell>
          <cell r="E2" t="str">
            <v>주소</v>
          </cell>
          <cell r="F2" t="str">
            <v>성별</v>
          </cell>
          <cell r="G2" t="str">
            <v>생년월일</v>
          </cell>
          <cell r="H2" t="str">
            <v>나이</v>
          </cell>
        </row>
        <row r="3">
          <cell r="B3" t="str">
            <v>A0101</v>
          </cell>
          <cell r="C3" t="str">
            <v>김엑셀</v>
          </cell>
          <cell r="D3" t="str">
            <v>720810-1623041</v>
          </cell>
          <cell r="E3" t="str">
            <v>경기 수원시 권선구 호매실동 329</v>
          </cell>
          <cell r="F3" t="str">
            <v>남자</v>
          </cell>
          <cell r="G3">
            <v>26521</v>
          </cell>
          <cell r="H3">
            <v>52</v>
          </cell>
        </row>
        <row r="4">
          <cell r="B4" t="str">
            <v>A0217</v>
          </cell>
          <cell r="C4" t="str">
            <v>배주아</v>
          </cell>
          <cell r="D4" t="str">
            <v>851101-2431458</v>
          </cell>
          <cell r="E4" t="str">
            <v>대전 유성구 신봉동 809</v>
          </cell>
          <cell r="F4" t="str">
            <v>여자</v>
          </cell>
          <cell r="G4">
            <v>31352</v>
          </cell>
          <cell r="H4">
            <v>39</v>
          </cell>
        </row>
        <row r="5">
          <cell r="B5" t="str">
            <v>A0218</v>
          </cell>
          <cell r="C5" t="str">
            <v>오여름</v>
          </cell>
          <cell r="D5" t="str">
            <v>900605-1328773</v>
          </cell>
          <cell r="E5" t="str">
            <v>충북 청주시 흥덕구 원평동 582</v>
          </cell>
          <cell r="F5" t="str">
            <v>남자</v>
          </cell>
          <cell r="G5">
            <v>33029</v>
          </cell>
          <cell r="H5">
            <v>34</v>
          </cell>
        </row>
        <row r="6">
          <cell r="B6" t="str">
            <v>A1112</v>
          </cell>
          <cell r="C6" t="str">
            <v>최진욱</v>
          </cell>
          <cell r="D6" t="str">
            <v>991025-1123927</v>
          </cell>
          <cell r="E6" t="str">
            <v>경남 진해시 남문동 885</v>
          </cell>
          <cell r="F6" t="str">
            <v>남자</v>
          </cell>
          <cell r="G6">
            <v>36458</v>
          </cell>
          <cell r="H6">
            <v>25</v>
          </cell>
        </row>
        <row r="7">
          <cell r="B7" t="str">
            <v>A1140</v>
          </cell>
          <cell r="C7" t="str">
            <v>강정원</v>
          </cell>
          <cell r="D7" t="str">
            <v>880526-2449645</v>
          </cell>
          <cell r="E7" t="str">
            <v>충북 청주시 상당구 사천동 286</v>
          </cell>
          <cell r="F7" t="str">
            <v>여자</v>
          </cell>
          <cell r="G7">
            <v>32289</v>
          </cell>
          <cell r="H7">
            <v>36</v>
          </cell>
        </row>
        <row r="8">
          <cell r="B8" t="str">
            <v>A1200</v>
          </cell>
          <cell r="C8" t="str">
            <v>정문희</v>
          </cell>
          <cell r="D8" t="str">
            <v>860204-2370876</v>
          </cell>
          <cell r="E8" t="str">
            <v>경기 수원시 권선구 오목천동 371</v>
          </cell>
          <cell r="F8" t="str">
            <v>여자</v>
          </cell>
          <cell r="G8">
            <v>31447</v>
          </cell>
          <cell r="H8">
            <v>38</v>
          </cell>
        </row>
        <row r="9">
          <cell r="B9" t="str">
            <v>A1209</v>
          </cell>
          <cell r="C9" t="str">
            <v>전화란</v>
          </cell>
          <cell r="D9" t="str">
            <v>710627-2687499</v>
          </cell>
          <cell r="E9" t="str">
            <v>광주 북구 지야동 610</v>
          </cell>
          <cell r="F9" t="str">
            <v>여자</v>
          </cell>
          <cell r="G9">
            <v>26111</v>
          </cell>
          <cell r="H9">
            <v>53</v>
          </cell>
        </row>
        <row r="10">
          <cell r="B10" t="str">
            <v>A1212</v>
          </cell>
          <cell r="C10" t="str">
            <v>김조우</v>
          </cell>
          <cell r="D10" t="str">
            <v>760725-2685328</v>
          </cell>
          <cell r="E10" t="str">
            <v>서울 성북구 삼선동4가 711</v>
          </cell>
          <cell r="F10" t="str">
            <v>여자</v>
          </cell>
          <cell r="G10">
            <v>27966</v>
          </cell>
          <cell r="H10">
            <v>48</v>
          </cell>
        </row>
        <row r="11">
          <cell r="B11" t="str">
            <v>A1452</v>
          </cell>
          <cell r="C11" t="str">
            <v>강정철</v>
          </cell>
          <cell r="D11" t="str">
            <v>810715-1938618</v>
          </cell>
          <cell r="E11" t="str">
            <v>서울 중구 수표동 856</v>
          </cell>
          <cell r="F11" t="str">
            <v>남자</v>
          </cell>
          <cell r="G11">
            <v>29782</v>
          </cell>
          <cell r="H11">
            <v>43</v>
          </cell>
        </row>
        <row r="12">
          <cell r="B12" t="str">
            <v>A1457</v>
          </cell>
          <cell r="C12" t="str">
            <v>양상미</v>
          </cell>
          <cell r="D12" t="str">
            <v>990917-2265155</v>
          </cell>
          <cell r="E12" t="str">
            <v>서울 구로구 오류동 188</v>
          </cell>
          <cell r="F12" t="str">
            <v>여자</v>
          </cell>
          <cell r="G12">
            <v>36420</v>
          </cell>
          <cell r="H12">
            <v>25</v>
          </cell>
        </row>
        <row r="13">
          <cell r="B13" t="str">
            <v>A1473</v>
          </cell>
          <cell r="C13" t="str">
            <v>정혜국</v>
          </cell>
          <cell r="D13" t="str">
            <v>760714-1645991</v>
          </cell>
          <cell r="E13" t="str">
            <v>강원 강릉시 난곡동 588</v>
          </cell>
          <cell r="F13" t="str">
            <v>남자</v>
          </cell>
          <cell r="G13">
            <v>27955</v>
          </cell>
          <cell r="H13">
            <v>48</v>
          </cell>
        </row>
        <row r="14">
          <cell r="B14" t="str">
            <v>A2250</v>
          </cell>
          <cell r="C14" t="str">
            <v>채재상</v>
          </cell>
          <cell r="D14" t="str">
            <v>840626-1451759</v>
          </cell>
          <cell r="E14" t="str">
            <v>경남 통영시 인평동 601</v>
          </cell>
          <cell r="F14" t="str">
            <v>남자</v>
          </cell>
          <cell r="G14">
            <v>30859</v>
          </cell>
          <cell r="H14">
            <v>40</v>
          </cell>
        </row>
        <row r="15">
          <cell r="B15" t="str">
            <v>A2451</v>
          </cell>
          <cell r="C15" t="str">
            <v>최초진</v>
          </cell>
          <cell r="D15" t="str">
            <v>951122-1595999</v>
          </cell>
          <cell r="E15" t="str">
            <v>경기 화성시 시동 336</v>
          </cell>
          <cell r="F15" t="str">
            <v>남자</v>
          </cell>
          <cell r="G15">
            <v>35025</v>
          </cell>
          <cell r="H15">
            <v>29</v>
          </cell>
        </row>
        <row r="16">
          <cell r="B16" t="str">
            <v>A2543</v>
          </cell>
          <cell r="C16" t="str">
            <v>이현진</v>
          </cell>
          <cell r="D16" t="str">
            <v>771022-1679293</v>
          </cell>
          <cell r="E16" t="str">
            <v>경북 영천시 창구동 406</v>
          </cell>
          <cell r="F16" t="str">
            <v>남자</v>
          </cell>
          <cell r="G16">
            <v>28420</v>
          </cell>
          <cell r="H16">
            <v>47</v>
          </cell>
        </row>
        <row r="17">
          <cell r="B17" t="str">
            <v>A3164</v>
          </cell>
          <cell r="C17" t="str">
            <v>전찬희</v>
          </cell>
          <cell r="D17" t="str">
            <v>950517-2683130</v>
          </cell>
          <cell r="E17" t="str">
            <v>전남 목포시 유달동 103</v>
          </cell>
          <cell r="F17" t="str">
            <v>여자</v>
          </cell>
          <cell r="G17">
            <v>34836</v>
          </cell>
          <cell r="H17">
            <v>29</v>
          </cell>
        </row>
        <row r="18">
          <cell r="B18" t="str">
            <v>A3620</v>
          </cell>
          <cell r="C18" t="str">
            <v>주재상</v>
          </cell>
          <cell r="D18" t="str">
            <v>910724-1364791</v>
          </cell>
          <cell r="E18" t="str">
            <v>서울 중구 남대문로5가 474</v>
          </cell>
          <cell r="F18" t="str">
            <v>남자</v>
          </cell>
          <cell r="G18">
            <v>33443</v>
          </cell>
          <cell r="H18">
            <v>33</v>
          </cell>
        </row>
        <row r="19">
          <cell r="B19" t="str">
            <v>A3630</v>
          </cell>
          <cell r="C19" t="str">
            <v>배민석</v>
          </cell>
          <cell r="D19" t="str">
            <v>900403-1659130</v>
          </cell>
          <cell r="E19" t="str">
            <v>대전 서구 둔산1동 716</v>
          </cell>
          <cell r="F19" t="str">
            <v>남자</v>
          </cell>
          <cell r="G19">
            <v>32966</v>
          </cell>
          <cell r="H19">
            <v>34</v>
          </cell>
        </row>
        <row r="20">
          <cell r="B20" t="str">
            <v>A3636</v>
          </cell>
          <cell r="C20" t="str">
            <v>민정환</v>
          </cell>
          <cell r="D20" t="str">
            <v>720811-1700314</v>
          </cell>
          <cell r="E20" t="str">
            <v>경기 의정부시 가능1동 754</v>
          </cell>
          <cell r="F20" t="str">
            <v>남자</v>
          </cell>
          <cell r="G20">
            <v>26522</v>
          </cell>
          <cell r="H20">
            <v>52</v>
          </cell>
        </row>
        <row r="21">
          <cell r="B21" t="str">
            <v>A3654</v>
          </cell>
          <cell r="C21" t="str">
            <v>노아진</v>
          </cell>
          <cell r="D21" t="str">
            <v>770828-1277469</v>
          </cell>
          <cell r="E21" t="str">
            <v>부산 중구 동광동5가 439</v>
          </cell>
          <cell r="F21" t="str">
            <v>남자</v>
          </cell>
          <cell r="G21">
            <v>28365</v>
          </cell>
          <cell r="H21">
            <v>47</v>
          </cell>
        </row>
        <row r="22">
          <cell r="B22" t="str">
            <v>A3657</v>
          </cell>
          <cell r="C22" t="str">
            <v>노연숙</v>
          </cell>
          <cell r="D22" t="str">
            <v>990607-2712046</v>
          </cell>
          <cell r="E22" t="str">
            <v>충북 제천시 고암동 789</v>
          </cell>
          <cell r="F22" t="str">
            <v>여자</v>
          </cell>
          <cell r="G22">
            <v>36318</v>
          </cell>
          <cell r="H22">
            <v>25</v>
          </cell>
        </row>
        <row r="23">
          <cell r="B23" t="str">
            <v>A4521</v>
          </cell>
          <cell r="C23" t="str">
            <v>최기영</v>
          </cell>
          <cell r="D23" t="str">
            <v>761012-2420917</v>
          </cell>
          <cell r="E23" t="str">
            <v>광주 동구 남동 680</v>
          </cell>
          <cell r="F23" t="str">
            <v>여자</v>
          </cell>
          <cell r="G23">
            <v>28045</v>
          </cell>
          <cell r="H23">
            <v>48</v>
          </cell>
        </row>
        <row r="24">
          <cell r="B24" t="str">
            <v>A6850</v>
          </cell>
          <cell r="C24" t="str">
            <v>서영철</v>
          </cell>
          <cell r="D24" t="str">
            <v>681005-1156208</v>
          </cell>
          <cell r="E24" t="str">
            <v>경남 사천시 늑도동 477</v>
          </cell>
          <cell r="F24" t="str">
            <v>남자</v>
          </cell>
          <cell r="G24">
            <v>25116</v>
          </cell>
          <cell r="H24">
            <v>56</v>
          </cell>
        </row>
        <row r="25">
          <cell r="B25" t="str">
            <v>A7874</v>
          </cell>
          <cell r="C25" t="str">
            <v>손송이</v>
          </cell>
          <cell r="D25" t="str">
            <v>760803-2407321</v>
          </cell>
          <cell r="E25" t="str">
            <v>충남 서산시 장동 112</v>
          </cell>
          <cell r="F25" t="str">
            <v>여자</v>
          </cell>
          <cell r="G25">
            <v>27975</v>
          </cell>
          <cell r="H25">
            <v>48</v>
          </cell>
        </row>
        <row r="26">
          <cell r="B26" t="str">
            <v>A7930</v>
          </cell>
          <cell r="C26" t="str">
            <v>노정안</v>
          </cell>
          <cell r="D26" t="str">
            <v>790211-2720108</v>
          </cell>
          <cell r="E26" t="str">
            <v>경북 안동시 명륜동 299</v>
          </cell>
          <cell r="F26" t="str">
            <v>여자</v>
          </cell>
          <cell r="G26">
            <v>28897</v>
          </cell>
          <cell r="H26">
            <v>45</v>
          </cell>
        </row>
        <row r="27">
          <cell r="B27" t="str">
            <v>B0124</v>
          </cell>
          <cell r="C27" t="str">
            <v>이윤환</v>
          </cell>
          <cell r="D27" t="str">
            <v>880928-1209331</v>
          </cell>
          <cell r="E27" t="str">
            <v>충북 충주시 안림동 465</v>
          </cell>
          <cell r="F27" t="str">
            <v>남자</v>
          </cell>
          <cell r="G27">
            <v>32414</v>
          </cell>
          <cell r="H27">
            <v>36</v>
          </cell>
        </row>
        <row r="28">
          <cell r="B28" t="str">
            <v>B0312</v>
          </cell>
          <cell r="C28" t="str">
            <v>이모아</v>
          </cell>
          <cell r="D28" t="str">
            <v>711104-2931093</v>
          </cell>
          <cell r="E28" t="str">
            <v>경남 진해시 인사동 399</v>
          </cell>
          <cell r="F28" t="str">
            <v>여자</v>
          </cell>
          <cell r="G28">
            <v>26241</v>
          </cell>
          <cell r="H28">
            <v>53</v>
          </cell>
        </row>
        <row r="29">
          <cell r="B29" t="str">
            <v>B1200</v>
          </cell>
          <cell r="C29" t="str">
            <v>이민국</v>
          </cell>
          <cell r="D29" t="str">
            <v>780818-1433889</v>
          </cell>
          <cell r="E29" t="str">
            <v>서울 중구 입정동 551</v>
          </cell>
          <cell r="F29" t="str">
            <v>남자</v>
          </cell>
          <cell r="G29">
            <v>28720</v>
          </cell>
          <cell r="H29">
            <v>46</v>
          </cell>
        </row>
        <row r="30">
          <cell r="B30" t="str">
            <v>B1204</v>
          </cell>
          <cell r="C30" t="str">
            <v>김은아</v>
          </cell>
          <cell r="D30" t="str">
            <v>860822-2619594</v>
          </cell>
          <cell r="E30" t="str">
            <v>부산 강서구 미음동 795</v>
          </cell>
          <cell r="F30" t="str">
            <v>여자</v>
          </cell>
          <cell r="G30">
            <v>31646</v>
          </cell>
          <cell r="H30">
            <v>38</v>
          </cell>
        </row>
        <row r="31">
          <cell r="B31" t="str">
            <v>B1209</v>
          </cell>
          <cell r="C31" t="str">
            <v>우영미</v>
          </cell>
          <cell r="D31" t="str">
            <v>820904-2426121</v>
          </cell>
          <cell r="E31" t="str">
            <v>경기 군포시 오금동 543</v>
          </cell>
          <cell r="F31" t="str">
            <v>여자</v>
          </cell>
          <cell r="G31">
            <v>30198</v>
          </cell>
          <cell r="H31">
            <v>42</v>
          </cell>
        </row>
        <row r="32">
          <cell r="B32" t="str">
            <v>B1240</v>
          </cell>
          <cell r="C32" t="str">
            <v>백한미</v>
          </cell>
          <cell r="D32" t="str">
            <v>900704-2117574</v>
          </cell>
          <cell r="E32" t="str">
            <v>경기 고양시 덕양구 행주내동 596</v>
          </cell>
          <cell r="F32" t="str">
            <v>여자</v>
          </cell>
          <cell r="G32">
            <v>33058</v>
          </cell>
          <cell r="H32">
            <v>34</v>
          </cell>
        </row>
        <row r="33">
          <cell r="B33" t="str">
            <v>B1245</v>
          </cell>
          <cell r="C33" t="str">
            <v>권우천</v>
          </cell>
          <cell r="D33" t="str">
            <v>810322-1185518</v>
          </cell>
          <cell r="E33" t="str">
            <v>경남 진주시 귀곡동 249</v>
          </cell>
          <cell r="F33" t="str">
            <v>남자</v>
          </cell>
          <cell r="G33">
            <v>29667</v>
          </cell>
          <cell r="H33">
            <v>43</v>
          </cell>
        </row>
        <row r="34">
          <cell r="B34" t="str">
            <v>B1478</v>
          </cell>
          <cell r="C34" t="str">
            <v>박순희</v>
          </cell>
          <cell r="D34" t="str">
            <v>750320-1476442</v>
          </cell>
          <cell r="E34" t="str">
            <v>경북 안동시 송천동 135</v>
          </cell>
          <cell r="F34" t="str">
            <v>남자</v>
          </cell>
          <cell r="G34">
            <v>27473</v>
          </cell>
          <cell r="H34">
            <v>49</v>
          </cell>
        </row>
        <row r="35">
          <cell r="B35" t="str">
            <v>B2210</v>
          </cell>
          <cell r="C35" t="str">
            <v>노은진</v>
          </cell>
          <cell r="D35" t="str">
            <v>900123-1264713</v>
          </cell>
          <cell r="E35" t="str">
            <v>서울 서초구 서초1동 790</v>
          </cell>
          <cell r="F35" t="str">
            <v>남자</v>
          </cell>
          <cell r="G35">
            <v>32896</v>
          </cell>
          <cell r="H35">
            <v>34</v>
          </cell>
        </row>
        <row r="36">
          <cell r="B36" t="str">
            <v>B2328</v>
          </cell>
          <cell r="C36" t="str">
            <v>박연우</v>
          </cell>
          <cell r="D36" t="str">
            <v>791021-1517099</v>
          </cell>
          <cell r="E36" t="str">
            <v>경남 마산시 회원동 277</v>
          </cell>
          <cell r="F36" t="str">
            <v>남자</v>
          </cell>
          <cell r="G36">
            <v>29149</v>
          </cell>
          <cell r="H36">
            <v>45</v>
          </cell>
        </row>
        <row r="37">
          <cell r="B37" t="str">
            <v>B3367</v>
          </cell>
          <cell r="C37" t="str">
            <v>백영삼</v>
          </cell>
          <cell r="D37" t="str">
            <v>821002-1160571</v>
          </cell>
          <cell r="E37" t="str">
            <v>서울 광진구 구의동 134</v>
          </cell>
          <cell r="F37" t="str">
            <v>남자</v>
          </cell>
          <cell r="G37">
            <v>30226</v>
          </cell>
          <cell r="H37">
            <v>42</v>
          </cell>
        </row>
        <row r="38">
          <cell r="B38" t="str">
            <v>B3624</v>
          </cell>
          <cell r="C38" t="str">
            <v>강은광</v>
          </cell>
          <cell r="D38" t="str">
            <v>730514-1248097</v>
          </cell>
          <cell r="E38" t="str">
            <v>경기 파주시 맥금동 814</v>
          </cell>
          <cell r="F38" t="str">
            <v>남자</v>
          </cell>
          <cell r="G38">
            <v>26798</v>
          </cell>
          <cell r="H38">
            <v>51</v>
          </cell>
        </row>
        <row r="39">
          <cell r="B39" t="str">
            <v>B4578</v>
          </cell>
          <cell r="C39" t="str">
            <v>성서희</v>
          </cell>
          <cell r="D39" t="str">
            <v>711005-2567156</v>
          </cell>
          <cell r="E39" t="str">
            <v>울산 남구 야음2동 713</v>
          </cell>
          <cell r="F39" t="str">
            <v>여자</v>
          </cell>
          <cell r="G39">
            <v>26211</v>
          </cell>
          <cell r="H39">
            <v>53</v>
          </cell>
        </row>
        <row r="40">
          <cell r="B40" t="str">
            <v>B4580</v>
          </cell>
          <cell r="C40" t="str">
            <v>민서진</v>
          </cell>
          <cell r="D40" t="str">
            <v>690311-1141487</v>
          </cell>
          <cell r="E40" t="str">
            <v>강원 춘천시 송암동 747</v>
          </cell>
          <cell r="F40" t="str">
            <v>남자</v>
          </cell>
          <cell r="G40">
            <v>25273</v>
          </cell>
          <cell r="H40">
            <v>55</v>
          </cell>
        </row>
        <row r="41">
          <cell r="B41" t="str">
            <v>B6542</v>
          </cell>
          <cell r="C41" t="str">
            <v>최은별</v>
          </cell>
          <cell r="D41" t="str">
            <v>720313-2952335</v>
          </cell>
          <cell r="E41" t="str">
            <v>전남 순천시 석현동 385</v>
          </cell>
          <cell r="F41" t="str">
            <v>여자</v>
          </cell>
          <cell r="G41">
            <v>26371</v>
          </cell>
          <cell r="H41">
            <v>52</v>
          </cell>
        </row>
        <row r="42">
          <cell r="B42" t="str">
            <v>B7801</v>
          </cell>
          <cell r="C42" t="str">
            <v>권세청</v>
          </cell>
          <cell r="D42" t="str">
            <v>740111-2318791</v>
          </cell>
          <cell r="E42" t="str">
            <v>전북 김제시 서암동 192</v>
          </cell>
          <cell r="F42" t="str">
            <v>여자</v>
          </cell>
          <cell r="G42">
            <v>27040</v>
          </cell>
          <cell r="H42">
            <v>50</v>
          </cell>
        </row>
        <row r="43">
          <cell r="B43" t="str">
            <v>C1010</v>
          </cell>
          <cell r="C43" t="str">
            <v>김희정</v>
          </cell>
          <cell r="D43" t="str">
            <v>880816-2149953</v>
          </cell>
          <cell r="E43" t="str">
            <v>강원 강릉시 운정동 507</v>
          </cell>
          <cell r="F43" t="str">
            <v>여자</v>
          </cell>
          <cell r="G43">
            <v>32371</v>
          </cell>
          <cell r="H43">
            <v>36</v>
          </cell>
        </row>
        <row r="44">
          <cell r="B44" t="str">
            <v>C1209</v>
          </cell>
          <cell r="C44" t="str">
            <v>이여름</v>
          </cell>
          <cell r="D44" t="str">
            <v>880112-2869534</v>
          </cell>
          <cell r="E44" t="str">
            <v>서울 강동구 암사4동 445</v>
          </cell>
          <cell r="F44" t="str">
            <v>여자</v>
          </cell>
          <cell r="G44">
            <v>32154</v>
          </cell>
          <cell r="H44">
            <v>36</v>
          </cell>
        </row>
        <row r="45">
          <cell r="B45" t="str">
            <v>C2145</v>
          </cell>
          <cell r="C45" t="str">
            <v>김가을</v>
          </cell>
          <cell r="D45" t="str">
            <v>940102-1214706</v>
          </cell>
          <cell r="E45" t="str">
            <v>서울 동대문구 용두1동 244</v>
          </cell>
          <cell r="F45" t="str">
            <v>남자</v>
          </cell>
          <cell r="G45">
            <v>34336</v>
          </cell>
          <cell r="H45">
            <v>30</v>
          </cell>
        </row>
        <row r="46">
          <cell r="B46" t="str">
            <v>C2365</v>
          </cell>
          <cell r="C46" t="str">
            <v>한유리</v>
          </cell>
          <cell r="D46" t="str">
            <v>980226-2184705</v>
          </cell>
          <cell r="E46" t="str">
            <v>부산 동래구 명륜1동 579</v>
          </cell>
          <cell r="F46" t="str">
            <v>여자</v>
          </cell>
          <cell r="G46">
            <v>35852</v>
          </cell>
          <cell r="H46">
            <v>26</v>
          </cell>
        </row>
        <row r="47">
          <cell r="B47" t="str">
            <v>C3204</v>
          </cell>
          <cell r="C47" t="str">
            <v>이슬비</v>
          </cell>
          <cell r="D47" t="str">
            <v>990824-2186972</v>
          </cell>
          <cell r="E47" t="str">
            <v>경기 부천시 오정구 오정동 889</v>
          </cell>
          <cell r="F47" t="str">
            <v>여자</v>
          </cell>
          <cell r="G47">
            <v>36396</v>
          </cell>
          <cell r="H47">
            <v>25</v>
          </cell>
        </row>
        <row r="48">
          <cell r="B48" t="str">
            <v>C3208</v>
          </cell>
          <cell r="C48" t="str">
            <v>서하준</v>
          </cell>
          <cell r="D48" t="str">
            <v>960216-1923667</v>
          </cell>
          <cell r="E48" t="str">
            <v>대구 중구 서문로2가 450</v>
          </cell>
          <cell r="F48" t="str">
            <v>남자</v>
          </cell>
          <cell r="G48">
            <v>35111</v>
          </cell>
          <cell r="H48">
            <v>28</v>
          </cell>
        </row>
        <row r="49">
          <cell r="B49" t="str">
            <v>C3254</v>
          </cell>
          <cell r="C49" t="str">
            <v>윤슬아</v>
          </cell>
          <cell r="D49" t="str">
            <v>991217-2412631</v>
          </cell>
          <cell r="E49" t="str">
            <v>인천 남구 용현2동 864</v>
          </cell>
          <cell r="F49" t="str">
            <v>여자</v>
          </cell>
          <cell r="G49">
            <v>36511</v>
          </cell>
          <cell r="H49">
            <v>25</v>
          </cell>
        </row>
        <row r="50">
          <cell r="B50" t="str">
            <v>C3600</v>
          </cell>
          <cell r="C50" t="str">
            <v>김조우</v>
          </cell>
          <cell r="D50" t="str">
            <v>870205-1780646</v>
          </cell>
          <cell r="E50" t="str">
            <v>전남 나주시 경현동 809</v>
          </cell>
          <cell r="F50" t="str">
            <v>남자</v>
          </cell>
          <cell r="G50">
            <v>31813</v>
          </cell>
          <cell r="H50">
            <v>37</v>
          </cell>
        </row>
        <row r="51">
          <cell r="B51" t="str">
            <v>C3607</v>
          </cell>
          <cell r="C51" t="str">
            <v>신지상</v>
          </cell>
          <cell r="D51" t="str">
            <v>770217-1219029</v>
          </cell>
          <cell r="E51" t="str">
            <v>경기 과천시 갈현동 631</v>
          </cell>
          <cell r="F51" t="str">
            <v>남자</v>
          </cell>
          <cell r="G51">
            <v>28173</v>
          </cell>
          <cell r="H51">
            <v>47</v>
          </cell>
        </row>
        <row r="52">
          <cell r="B52" t="str">
            <v>C6985</v>
          </cell>
          <cell r="C52" t="str">
            <v>이보미</v>
          </cell>
          <cell r="D52" t="str">
            <v>781227-2967739</v>
          </cell>
          <cell r="E52" t="str">
            <v>전남 목포시 경동1가 202</v>
          </cell>
          <cell r="F52" t="str">
            <v>여자</v>
          </cell>
          <cell r="G52">
            <v>28851</v>
          </cell>
          <cell r="H52">
            <v>46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OrdMonth" xr10:uid="{1867A13F-E834-4AE8-AE89-BF73A76317D1}" sourceName="OrdMonth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Resellercode" xr10:uid="{491C2A7A-3A2F-4713-BA45-33539E2D3EFF}" sourceName="Resellercode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Month" xr10:uid="{258D3CCB-E39D-47DB-8BC0-99A7B0FA0381}" cache="슬라이서_OrdMonth" caption="OrdMonth" rowHeight="273050"/>
  <slicer name="Resellercode" xr10:uid="{8CCC89E3-AFAD-44D5-B154-0E8E87DF72DD}" cache="슬라이서_Resellercode" caption="Resellercode" columnCount="2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CB306-978F-448F-8821-61AB2A2E4BB9}" name="표1" displayName="표1" ref="B10:I110" headerRowDxfId="16" headerRowBorderDxfId="15" tableBorderDxfId="14" totalsRowBorderDxfId="13">
  <autoFilter ref="B10:I110" xr:uid="{FA8CB306-978F-448F-8821-61AB2A2E4BB9}"/>
  <tableColumns count="8">
    <tableColumn id="1" xr3:uid="{B26FA43F-64E6-4310-975A-1AA1C3A6203C}" name="OrderId" totalsRowLabel="요약" dataDxfId="12" totalsRowDxfId="11" dataCellStyle="표준 24 3">
      <calculatedColumnFormula>SUBTOTAL(3,$F$11:F11)+0</calculatedColumnFormula>
    </tableColumn>
    <tableColumn id="2" xr3:uid="{960AF957-3A7B-4FF1-A57C-7DB5A10DDD81}" name="OrderDate" dataDxfId="10" dataCellStyle="표준 24 3"/>
    <tableColumn id="8" xr3:uid="{D733C255-10E0-4B65-8B4E-3EABD75A3B76}" name="OrdMonth" dataDxfId="9" dataCellStyle="표준 24 3"/>
    <tableColumn id="3" xr3:uid="{6D0600FE-9B51-4401-9501-53F8DA2ABA73}" name="Month" dataDxfId="8" totalsRowDxfId="7" dataCellStyle="표준 24 3"/>
    <tableColumn id="4" xr3:uid="{0AD533C6-14A1-4F48-A941-D9313246AE39}" name="Resellercode" totalsRowFunction="count" dataDxfId="6" totalsRowDxfId="5" dataCellStyle="표준 24 3"/>
    <tableColumn id="5" xr3:uid="{DFC3CC2A-DE38-44FD-A1AA-8C34F5E1A4B8}" name="UnitPrice_Sales" totalsRowFunction="sum" dataDxfId="4" totalsRowDxfId="3" dataCellStyle="쉼표 [0] 21 3"/>
    <tableColumn id="6" xr3:uid="{AA79E48E-7196-40C0-9D64-036290D4F366}" name="QTY" totalsRowFunction="sum" dataDxfId="2" totalsRowDxfId="1" dataCellStyle="쉼표 [0] 21 3"/>
    <tableColumn id="7" xr3:uid="{D0F3B753-C9D4-4800-91DF-D24538F3E421}" name="Realsales" totalsRowFunction="sum" dataDxfId="0" dataCellStyle="쉼표 [0] 21 3">
      <calculatedColumnFormula>G11*H11</calculatedColumnFormula>
    </tableColumn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7"/>
  <sheetViews>
    <sheetView showGridLines="0" zoomScale="85" zoomScaleNormal="85" workbookViewId="0">
      <selection activeCell="C9" sqref="C9"/>
    </sheetView>
  </sheetViews>
  <sheetFormatPr defaultColWidth="0" defaultRowHeight="16.5" zeroHeight="1"/>
  <cols>
    <col min="1" max="1" width="12.375" customWidth="1"/>
    <col min="2" max="2" width="33.5" customWidth="1"/>
    <col min="3" max="3" width="58.5" bestFit="1" customWidth="1"/>
    <col min="4" max="5" width="9" customWidth="1"/>
    <col min="6" max="16384" width="9" hidden="1"/>
  </cols>
  <sheetData>
    <row r="1" spans="1:5" s="1" customFormat="1" ht="35.1" customHeight="1">
      <c r="A1" s="2"/>
      <c r="B1" s="3" t="s">
        <v>58</v>
      </c>
      <c r="C1" s="2"/>
      <c r="D1" s="2"/>
      <c r="E1" s="2"/>
    </row>
    <row r="2" spans="1:5"/>
    <row r="3" spans="1:5" ht="21.95" customHeight="1">
      <c r="B3" s="4" t="s">
        <v>57</v>
      </c>
      <c r="C3" s="5" t="s">
        <v>56</v>
      </c>
    </row>
    <row r="4" spans="1:5" ht="21.95" customHeight="1">
      <c r="B4" s="4" t="s">
        <v>64</v>
      </c>
      <c r="C4" s="5" t="s">
        <v>793</v>
      </c>
    </row>
    <row r="5" spans="1:5" ht="21.95" customHeight="1">
      <c r="B5" s="4" t="s">
        <v>55</v>
      </c>
      <c r="C5" s="5" t="s">
        <v>54</v>
      </c>
    </row>
    <row r="6" spans="1:5" ht="21.95" customHeight="1">
      <c r="B6" s="4" t="s">
        <v>53</v>
      </c>
      <c r="C6" s="5" t="s">
        <v>59</v>
      </c>
    </row>
    <row r="7" spans="1:5" ht="21.95" customHeight="1">
      <c r="B7" s="34" t="s">
        <v>796</v>
      </c>
      <c r="C7" s="5" t="s">
        <v>797</v>
      </c>
    </row>
    <row r="8" spans="1:5" ht="21.95" customHeight="1">
      <c r="B8" s="4" t="s">
        <v>52</v>
      </c>
      <c r="C8" s="5" t="s">
        <v>51</v>
      </c>
    </row>
    <row r="9" spans="1:5" ht="21.95" customHeight="1">
      <c r="B9" s="4" t="s">
        <v>50</v>
      </c>
      <c r="C9" s="5" t="s">
        <v>49</v>
      </c>
    </row>
    <row r="10" spans="1:5" ht="21.95" customHeight="1">
      <c r="B10" s="4" t="s">
        <v>65</v>
      </c>
      <c r="C10" s="5" t="s">
        <v>48</v>
      </c>
    </row>
    <row r="11" spans="1:5" ht="21.95" customHeight="1">
      <c r="B11" s="4" t="s">
        <v>47</v>
      </c>
      <c r="C11" s="5" t="s">
        <v>46</v>
      </c>
    </row>
    <row r="12" spans="1:5" ht="21.95" customHeight="1">
      <c r="B12" s="6"/>
      <c r="C12" s="6"/>
    </row>
    <row r="13" spans="1:5"/>
    <row r="14" spans="1:5" s="1" customFormat="1" ht="35.1" customHeight="1">
      <c r="A14" s="2"/>
      <c r="B14" s="3" t="s">
        <v>45</v>
      </c>
      <c r="C14" s="2"/>
      <c r="D14" s="2"/>
      <c r="E14" s="2"/>
    </row>
    <row r="15" spans="1:5"/>
    <row r="16" spans="1:5" ht="21.95" customHeight="1">
      <c r="B16" s="4" t="s">
        <v>44</v>
      </c>
      <c r="C16" s="5" t="s">
        <v>43</v>
      </c>
    </row>
    <row r="17" spans="1:5" ht="21.95" customHeight="1">
      <c r="B17" s="4" t="s">
        <v>42</v>
      </c>
      <c r="C17" s="5" t="s">
        <v>41</v>
      </c>
    </row>
    <row r="18" spans="1:5" ht="21.95" customHeight="1">
      <c r="B18" s="4" t="s">
        <v>40</v>
      </c>
      <c r="C18" s="5" t="s">
        <v>39</v>
      </c>
    </row>
    <row r="19" spans="1:5">
      <c r="B19" s="8"/>
      <c r="C19" s="8"/>
    </row>
    <row r="20" spans="1:5"/>
    <row r="21" spans="1:5" s="1" customFormat="1" ht="35.1" customHeight="1">
      <c r="A21" s="2"/>
      <c r="B21" s="33" t="s">
        <v>38</v>
      </c>
      <c r="C21" s="2"/>
      <c r="D21" s="2"/>
      <c r="E21" s="2"/>
    </row>
    <row r="22" spans="1:5"/>
    <row r="23" spans="1:5" ht="21.95" customHeight="1">
      <c r="B23" s="4" t="s">
        <v>37</v>
      </c>
      <c r="C23" s="5" t="s">
        <v>36</v>
      </c>
    </row>
    <row r="24" spans="1:5" ht="21.95" customHeight="1">
      <c r="B24" s="4" t="s">
        <v>35</v>
      </c>
      <c r="C24" s="5" t="s">
        <v>34</v>
      </c>
    </row>
    <row r="25" spans="1:5" ht="21.95" customHeight="1">
      <c r="B25" s="4" t="s">
        <v>31</v>
      </c>
      <c r="C25" s="5" t="s">
        <v>30</v>
      </c>
    </row>
    <row r="26" spans="1:5" ht="21.95" customHeight="1">
      <c r="B26" s="4" t="s">
        <v>33</v>
      </c>
      <c r="C26" s="5" t="s">
        <v>32</v>
      </c>
    </row>
    <row r="27" spans="1:5" ht="21.95" customHeight="1">
      <c r="B27" s="166" t="s">
        <v>2</v>
      </c>
      <c r="C27" s="9" t="s">
        <v>61</v>
      </c>
    </row>
    <row r="28" spans="1:5" ht="21.95" customHeight="1">
      <c r="B28" s="166"/>
      <c r="C28" s="10" t="s">
        <v>60</v>
      </c>
    </row>
    <row r="29" spans="1:5" ht="21.95" customHeight="1">
      <c r="B29" s="4" t="s">
        <v>29</v>
      </c>
      <c r="C29" s="5" t="s">
        <v>28</v>
      </c>
    </row>
    <row r="30" spans="1:5"/>
    <row r="31" spans="1:5"/>
    <row r="32" spans="1:5" s="1" customFormat="1" ht="35.1" customHeight="1">
      <c r="A32" s="2"/>
      <c r="B32" s="33" t="s">
        <v>27</v>
      </c>
      <c r="C32" s="2"/>
      <c r="D32" s="2"/>
      <c r="E32" s="2"/>
    </row>
    <row r="33" spans="1:5"/>
    <row r="34" spans="1:5" ht="21.95" customHeight="1">
      <c r="B34" s="4" t="s">
        <v>26</v>
      </c>
      <c r="C34" s="5" t="s">
        <v>25</v>
      </c>
    </row>
    <row r="35" spans="1:5" ht="21.95" customHeight="1">
      <c r="B35" s="4" t="s">
        <v>24</v>
      </c>
      <c r="C35" s="5" t="s">
        <v>23</v>
      </c>
    </row>
    <row r="36" spans="1:5" ht="21.95" customHeight="1">
      <c r="B36" s="4" t="s">
        <v>22</v>
      </c>
      <c r="C36" s="5" t="s">
        <v>21</v>
      </c>
    </row>
    <row r="37" spans="1:5">
      <c r="B37" s="8"/>
      <c r="C37" s="8"/>
    </row>
    <row r="38" spans="1:5"/>
    <row r="39" spans="1:5" s="1" customFormat="1" ht="35.1" customHeight="1">
      <c r="A39" s="2"/>
      <c r="B39" s="33" t="s">
        <v>20</v>
      </c>
      <c r="C39" s="2"/>
      <c r="D39" s="2"/>
      <c r="E39" s="2"/>
    </row>
    <row r="40" spans="1:5"/>
    <row r="41" spans="1:5" ht="21.95" customHeight="1">
      <c r="B41" s="7" t="s">
        <v>19</v>
      </c>
      <c r="C41" s="11" t="s">
        <v>18</v>
      </c>
    </row>
    <row r="42" spans="1:5" ht="21.95" customHeight="1">
      <c r="B42" s="4" t="s">
        <v>17</v>
      </c>
      <c r="C42" s="5" t="s">
        <v>16</v>
      </c>
    </row>
    <row r="43" spans="1:5" ht="21.95" customHeight="1">
      <c r="B43" s="4" t="s">
        <v>15</v>
      </c>
      <c r="C43" s="5" t="s">
        <v>14</v>
      </c>
    </row>
    <row r="44" spans="1:5" ht="21.95" customHeight="1">
      <c r="B44" s="4" t="s">
        <v>13</v>
      </c>
      <c r="C44" s="5" t="s">
        <v>12</v>
      </c>
    </row>
    <row r="45" spans="1:5"/>
    <row r="46" spans="1:5"/>
    <row r="47" spans="1:5" s="1" customFormat="1" ht="35.1" customHeight="1">
      <c r="A47" s="2"/>
      <c r="B47" s="33" t="s">
        <v>11</v>
      </c>
      <c r="C47" s="2"/>
      <c r="D47" s="2"/>
      <c r="E47" s="2"/>
    </row>
    <row r="48" spans="1:5"/>
    <row r="49" spans="2:3" ht="21.95" customHeight="1">
      <c r="B49" s="7" t="s">
        <v>10</v>
      </c>
      <c r="C49" s="5" t="s">
        <v>9</v>
      </c>
    </row>
    <row r="50" spans="2:3" ht="21.95" customHeight="1">
      <c r="B50" s="4" t="s">
        <v>8</v>
      </c>
      <c r="C50" s="5" t="s">
        <v>7</v>
      </c>
    </row>
    <row r="51" spans="2:3" ht="21.95" customHeight="1">
      <c r="B51" s="4" t="s">
        <v>6</v>
      </c>
      <c r="C51" s="5" t="s">
        <v>5</v>
      </c>
    </row>
    <row r="52" spans="2:3" ht="21.95" customHeight="1">
      <c r="B52" s="4" t="s">
        <v>4</v>
      </c>
      <c r="C52" s="5" t="s">
        <v>3</v>
      </c>
    </row>
    <row r="53" spans="2:3" ht="21.95" customHeight="1">
      <c r="B53" s="4" t="s">
        <v>1</v>
      </c>
      <c r="C53" s="5" t="s">
        <v>0</v>
      </c>
    </row>
    <row r="54" spans="2:3" ht="21.95" customHeight="1">
      <c r="B54" s="4" t="s">
        <v>66</v>
      </c>
      <c r="C54" s="12" t="s">
        <v>67</v>
      </c>
    </row>
    <row r="55" spans="2:3" ht="21.95" customHeight="1">
      <c r="B55" s="4" t="s">
        <v>63</v>
      </c>
      <c r="C55" s="5" t="s">
        <v>62</v>
      </c>
    </row>
    <row r="56" spans="2:3" ht="22.5" customHeight="1">
      <c r="B56" s="34" t="s">
        <v>795</v>
      </c>
      <c r="C56" s="5" t="s">
        <v>794</v>
      </c>
    </row>
    <row r="57" spans="2:3"/>
  </sheetData>
  <mergeCells count="1">
    <mergeCell ref="B27:B28"/>
  </mergeCells>
  <phoneticPr fontId="2" type="noConversion"/>
  <printOptions horizontalCentered="1"/>
  <pageMargins left="0.23622047244094491" right="0.23622047244094491" top="0.39370078740157483" bottom="0.39370078740157483" header="0.31496062992125984" footer="0.31496062992125984"/>
  <pageSetup paperSize="9" scale="82" fitToHeight="0" orientation="portrait" r:id="rId1"/>
  <rowBreaks count="1" manualBreakCount="1">
    <brk id="2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94"/>
  <sheetViews>
    <sheetView showGridLines="0" showRowColHeaders="0" workbookViewId="0">
      <selection activeCell="Q16" sqref="Q16"/>
    </sheetView>
  </sheetViews>
  <sheetFormatPr defaultColWidth="4.25" defaultRowHeight="16.5" zeroHeight="1"/>
  <cols>
    <col min="1" max="1" width="5.75" style="17" customWidth="1"/>
    <col min="2" max="10" width="4.25" style="32" customWidth="1"/>
    <col min="11" max="11" width="5.75" style="17" customWidth="1"/>
    <col min="12" max="20" width="4.25" style="32" customWidth="1"/>
    <col min="21" max="21" width="4.25" style="17" customWidth="1"/>
    <col min="22" max="16384" width="4.25" style="17"/>
  </cols>
  <sheetData>
    <row r="1" spans="1:20" ht="15.75" customHeight="1">
      <c r="A1" s="167"/>
      <c r="B1" s="168"/>
      <c r="C1" s="168"/>
      <c r="D1" s="168"/>
      <c r="E1" s="168"/>
      <c r="F1" s="168"/>
      <c r="G1" s="168"/>
      <c r="H1" s="168"/>
      <c r="I1" s="168"/>
      <c r="J1" s="169"/>
      <c r="K1" s="13" t="s">
        <v>68</v>
      </c>
      <c r="L1" s="14">
        <v>1</v>
      </c>
      <c r="M1" s="15">
        <v>2</v>
      </c>
      <c r="N1" s="15">
        <v>3</v>
      </c>
      <c r="O1" s="15">
        <v>4</v>
      </c>
      <c r="P1" s="15">
        <v>5</v>
      </c>
      <c r="Q1" s="15">
        <v>6</v>
      </c>
      <c r="R1" s="15">
        <v>7</v>
      </c>
      <c r="S1" s="15">
        <v>8</v>
      </c>
      <c r="T1" s="16">
        <v>9</v>
      </c>
    </row>
    <row r="2" spans="1:20" ht="15.75" customHeight="1">
      <c r="A2" s="170" t="s">
        <v>792</v>
      </c>
      <c r="B2" s="171"/>
      <c r="C2" s="171"/>
      <c r="D2" s="171"/>
      <c r="E2" s="171"/>
      <c r="F2" s="171"/>
      <c r="G2" s="171"/>
      <c r="H2" s="171"/>
      <c r="I2" s="171"/>
      <c r="J2" s="172"/>
      <c r="K2" s="176" t="s">
        <v>69</v>
      </c>
      <c r="L2" s="18" t="s">
        <v>70</v>
      </c>
      <c r="M2" s="19" t="s">
        <v>71</v>
      </c>
      <c r="N2" s="19" t="s">
        <v>72</v>
      </c>
      <c r="O2" s="19" t="s">
        <v>73</v>
      </c>
      <c r="P2" s="19" t="s">
        <v>74</v>
      </c>
      <c r="Q2" s="19" t="s">
        <v>75</v>
      </c>
      <c r="R2" s="19" t="s">
        <v>76</v>
      </c>
      <c r="S2" s="19" t="s">
        <v>77</v>
      </c>
      <c r="T2" s="20" t="s">
        <v>78</v>
      </c>
    </row>
    <row r="3" spans="1:20" ht="15.75" customHeight="1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7"/>
      <c r="L3" s="21" t="s">
        <v>79</v>
      </c>
      <c r="M3" s="22" t="s">
        <v>80</v>
      </c>
      <c r="N3" s="22" t="s">
        <v>81</v>
      </c>
      <c r="O3" s="22" t="s">
        <v>82</v>
      </c>
      <c r="P3" s="22" t="s">
        <v>83</v>
      </c>
      <c r="Q3" s="22" t="s">
        <v>84</v>
      </c>
      <c r="R3" s="22" t="s">
        <v>85</v>
      </c>
      <c r="S3" s="22"/>
      <c r="T3" s="23" t="s">
        <v>86</v>
      </c>
    </row>
    <row r="4" spans="1:20" ht="15.75" customHeight="1">
      <c r="A4" s="173"/>
      <c r="B4" s="174"/>
      <c r="C4" s="174"/>
      <c r="D4" s="174"/>
      <c r="E4" s="174"/>
      <c r="F4" s="174"/>
      <c r="G4" s="174"/>
      <c r="H4" s="174"/>
      <c r="I4" s="174"/>
      <c r="J4" s="175"/>
      <c r="K4" s="177"/>
      <c r="L4" s="21" t="s">
        <v>87</v>
      </c>
      <c r="M4" s="22" t="s">
        <v>88</v>
      </c>
      <c r="N4" s="22" t="s">
        <v>89</v>
      </c>
      <c r="O4" s="22" t="s">
        <v>90</v>
      </c>
      <c r="P4" s="22" t="s">
        <v>91</v>
      </c>
      <c r="Q4" s="22" t="s">
        <v>92</v>
      </c>
      <c r="R4" s="22" t="s">
        <v>93</v>
      </c>
      <c r="S4" s="22" t="s">
        <v>94</v>
      </c>
      <c r="T4" s="23" t="s">
        <v>95</v>
      </c>
    </row>
    <row r="5" spans="1:20" ht="15.75" customHeight="1">
      <c r="A5" s="13" t="s">
        <v>68</v>
      </c>
      <c r="B5" s="14">
        <v>1</v>
      </c>
      <c r="C5" s="15">
        <v>2</v>
      </c>
      <c r="D5" s="15">
        <v>3</v>
      </c>
      <c r="E5" s="15">
        <v>4</v>
      </c>
      <c r="F5" s="15">
        <v>5</v>
      </c>
      <c r="G5" s="15">
        <v>6</v>
      </c>
      <c r="H5" s="15">
        <v>7</v>
      </c>
      <c r="I5" s="15">
        <v>8</v>
      </c>
      <c r="J5" s="16">
        <v>9</v>
      </c>
      <c r="K5" s="177"/>
      <c r="L5" s="21" t="s">
        <v>96</v>
      </c>
      <c r="M5" s="22" t="s">
        <v>97</v>
      </c>
      <c r="N5" s="22" t="s">
        <v>98</v>
      </c>
      <c r="O5" s="22" t="s">
        <v>99</v>
      </c>
      <c r="P5" s="22" t="s">
        <v>100</v>
      </c>
      <c r="Q5" s="22" t="s">
        <v>101</v>
      </c>
      <c r="R5" s="22" t="s">
        <v>102</v>
      </c>
      <c r="S5" s="22" t="s">
        <v>103</v>
      </c>
      <c r="T5" s="23" t="s">
        <v>104</v>
      </c>
    </row>
    <row r="6" spans="1:20" ht="15.75" customHeight="1">
      <c r="A6" s="176" t="s">
        <v>105</v>
      </c>
      <c r="B6" s="18" t="s">
        <v>106</v>
      </c>
      <c r="C6" s="19" t="s">
        <v>107</v>
      </c>
      <c r="D6" s="24" t="s">
        <v>108</v>
      </c>
      <c r="E6" s="19" t="s">
        <v>109</v>
      </c>
      <c r="F6" s="19" t="s">
        <v>110</v>
      </c>
      <c r="G6" s="19" t="s">
        <v>111</v>
      </c>
      <c r="H6" s="19" t="s">
        <v>112</v>
      </c>
      <c r="I6" s="19" t="s">
        <v>113</v>
      </c>
      <c r="J6" s="20" t="s">
        <v>114</v>
      </c>
      <c r="K6" s="177"/>
      <c r="L6" s="21" t="s">
        <v>115</v>
      </c>
      <c r="M6" s="22" t="s">
        <v>116</v>
      </c>
      <c r="N6" s="22" t="s">
        <v>117</v>
      </c>
      <c r="O6" s="22" t="s">
        <v>118</v>
      </c>
      <c r="P6" s="22" t="s">
        <v>119</v>
      </c>
      <c r="Q6" s="22" t="s">
        <v>120</v>
      </c>
      <c r="R6" s="22" t="s">
        <v>121</v>
      </c>
      <c r="S6" s="22" t="s">
        <v>122</v>
      </c>
      <c r="T6" s="23" t="s">
        <v>123</v>
      </c>
    </row>
    <row r="7" spans="1:20" ht="15.75" customHeight="1">
      <c r="A7" s="177"/>
      <c r="B7" s="21" t="s">
        <v>124</v>
      </c>
      <c r="C7" s="22" t="s">
        <v>125</v>
      </c>
      <c r="D7" s="22" t="s">
        <v>126</v>
      </c>
      <c r="E7" s="22" t="s">
        <v>127</v>
      </c>
      <c r="F7" s="22" t="s">
        <v>128</v>
      </c>
      <c r="G7" s="22" t="s">
        <v>129</v>
      </c>
      <c r="H7" s="22" t="s">
        <v>130</v>
      </c>
      <c r="I7" s="22" t="s">
        <v>131</v>
      </c>
      <c r="J7" s="23" t="s">
        <v>132</v>
      </c>
      <c r="K7" s="177"/>
      <c r="L7" s="21" t="s">
        <v>133</v>
      </c>
      <c r="M7" s="22" t="s">
        <v>134</v>
      </c>
      <c r="N7" s="22" t="s">
        <v>135</v>
      </c>
      <c r="O7" s="22" t="s">
        <v>136</v>
      </c>
      <c r="P7" s="22" t="s">
        <v>137</v>
      </c>
      <c r="Q7" s="22" t="s">
        <v>138</v>
      </c>
      <c r="R7" s="22" t="s">
        <v>139</v>
      </c>
      <c r="S7" s="22" t="s">
        <v>140</v>
      </c>
      <c r="T7" s="23" t="s">
        <v>141</v>
      </c>
    </row>
    <row r="8" spans="1:20" ht="15.75" customHeight="1">
      <c r="A8" s="177"/>
      <c r="B8" s="21" t="s">
        <v>142</v>
      </c>
      <c r="C8" s="22" t="s">
        <v>143</v>
      </c>
      <c r="D8" s="22" t="s">
        <v>144</v>
      </c>
      <c r="E8" s="22" t="s">
        <v>145</v>
      </c>
      <c r="F8" s="22" t="s">
        <v>146</v>
      </c>
      <c r="G8" s="22" t="s">
        <v>147</v>
      </c>
      <c r="H8" s="22" t="s">
        <v>148</v>
      </c>
      <c r="I8" s="22" t="s">
        <v>149</v>
      </c>
      <c r="J8" s="23" t="s">
        <v>150</v>
      </c>
      <c r="K8" s="178"/>
      <c r="L8" s="25" t="s">
        <v>151</v>
      </c>
      <c r="M8" s="26" t="s">
        <v>152</v>
      </c>
      <c r="N8" s="26"/>
      <c r="O8" s="26"/>
      <c r="P8" s="26"/>
      <c r="Q8" s="26"/>
      <c r="R8" s="26"/>
      <c r="S8" s="26"/>
      <c r="T8" s="27"/>
    </row>
    <row r="9" spans="1:20" ht="15.75" customHeight="1">
      <c r="A9" s="177"/>
      <c r="B9" s="21" t="s">
        <v>153</v>
      </c>
      <c r="C9" s="22" t="s">
        <v>154</v>
      </c>
      <c r="D9" s="22" t="s">
        <v>155</v>
      </c>
      <c r="E9" s="22" t="s">
        <v>156</v>
      </c>
      <c r="F9" s="22" t="s">
        <v>157</v>
      </c>
      <c r="G9" s="22" t="s">
        <v>158</v>
      </c>
      <c r="H9" s="22" t="s">
        <v>159</v>
      </c>
      <c r="I9" s="22" t="s">
        <v>160</v>
      </c>
      <c r="J9" s="23" t="s">
        <v>161</v>
      </c>
      <c r="K9" s="176" t="s">
        <v>162</v>
      </c>
      <c r="L9" s="18" t="s">
        <v>163</v>
      </c>
      <c r="M9" s="19" t="s">
        <v>164</v>
      </c>
      <c r="N9" s="19" t="s">
        <v>165</v>
      </c>
      <c r="O9" s="19" t="s">
        <v>166</v>
      </c>
      <c r="P9" s="19" t="s">
        <v>167</v>
      </c>
      <c r="Q9" s="19" t="s">
        <v>168</v>
      </c>
      <c r="R9" s="19" t="s">
        <v>169</v>
      </c>
      <c r="S9" s="19" t="s">
        <v>170</v>
      </c>
      <c r="T9" s="20" t="s">
        <v>171</v>
      </c>
    </row>
    <row r="10" spans="1:20" ht="15.75" customHeight="1">
      <c r="A10" s="178"/>
      <c r="B10" s="25" t="s">
        <v>172</v>
      </c>
      <c r="C10" s="26" t="s">
        <v>173</v>
      </c>
      <c r="D10" s="26"/>
      <c r="E10" s="26"/>
      <c r="F10" s="26"/>
      <c r="G10" s="26"/>
      <c r="H10" s="26"/>
      <c r="I10" s="26"/>
      <c r="J10" s="27"/>
      <c r="K10" s="177"/>
      <c r="L10" s="21" t="s">
        <v>174</v>
      </c>
      <c r="M10" s="22" t="s">
        <v>175</v>
      </c>
      <c r="N10" s="22" t="s">
        <v>176</v>
      </c>
      <c r="O10" s="22" t="s">
        <v>177</v>
      </c>
      <c r="P10" s="22" t="s">
        <v>178</v>
      </c>
      <c r="Q10" s="22" t="s">
        <v>179</v>
      </c>
      <c r="R10" s="22" t="s">
        <v>180</v>
      </c>
      <c r="S10" s="22" t="s">
        <v>181</v>
      </c>
      <c r="T10" s="23" t="s">
        <v>182</v>
      </c>
    </row>
    <row r="11" spans="1:20" ht="15.75" customHeight="1">
      <c r="A11" s="176" t="s">
        <v>183</v>
      </c>
      <c r="B11" s="18" t="s">
        <v>184</v>
      </c>
      <c r="C11" s="19" t="s">
        <v>185</v>
      </c>
      <c r="D11" s="19" t="s">
        <v>186</v>
      </c>
      <c r="E11" s="19" t="s">
        <v>187</v>
      </c>
      <c r="F11" s="19" t="s">
        <v>188</v>
      </c>
      <c r="G11" s="19" t="s">
        <v>189</v>
      </c>
      <c r="H11" s="19" t="s">
        <v>190</v>
      </c>
      <c r="I11" s="19" t="s">
        <v>191</v>
      </c>
      <c r="J11" s="20" t="s">
        <v>192</v>
      </c>
      <c r="K11" s="177"/>
      <c r="L11" s="21" t="s">
        <v>193</v>
      </c>
      <c r="M11" s="22" t="s">
        <v>194</v>
      </c>
      <c r="N11" s="22" t="s">
        <v>195</v>
      </c>
      <c r="O11" s="22" t="s">
        <v>196</v>
      </c>
      <c r="P11" s="22" t="s">
        <v>197</v>
      </c>
      <c r="Q11" s="22" t="s">
        <v>198</v>
      </c>
      <c r="R11" s="22" t="s">
        <v>199</v>
      </c>
      <c r="S11" s="22" t="s">
        <v>200</v>
      </c>
      <c r="T11" s="23" t="s">
        <v>201</v>
      </c>
    </row>
    <row r="12" spans="1:20" ht="15.75" customHeight="1">
      <c r="A12" s="177"/>
      <c r="B12" s="21" t="s">
        <v>202</v>
      </c>
      <c r="C12" s="22" t="s">
        <v>203</v>
      </c>
      <c r="D12" s="22" t="s">
        <v>204</v>
      </c>
      <c r="E12" s="22" t="s">
        <v>205</v>
      </c>
      <c r="F12" s="22" t="s">
        <v>206</v>
      </c>
      <c r="G12" s="22" t="s">
        <v>207</v>
      </c>
      <c r="H12" s="22" t="s">
        <v>208</v>
      </c>
      <c r="I12" s="22" t="s">
        <v>209</v>
      </c>
      <c r="J12" s="23" t="s">
        <v>210</v>
      </c>
      <c r="K12" s="177"/>
      <c r="L12" s="21" t="s">
        <v>211</v>
      </c>
      <c r="M12" s="22" t="s">
        <v>212</v>
      </c>
      <c r="N12" s="22" t="s">
        <v>213</v>
      </c>
      <c r="O12" s="22" t="s">
        <v>214</v>
      </c>
      <c r="P12" s="22" t="s">
        <v>215</v>
      </c>
      <c r="Q12" s="22" t="s">
        <v>216</v>
      </c>
      <c r="R12" s="22" t="s">
        <v>217</v>
      </c>
      <c r="S12" s="22" t="s">
        <v>218</v>
      </c>
      <c r="T12" s="23" t="s">
        <v>219</v>
      </c>
    </row>
    <row r="13" spans="1:20" ht="15.75" customHeight="1">
      <c r="A13" s="178"/>
      <c r="B13" s="25" t="s">
        <v>220</v>
      </c>
      <c r="C13" s="26" t="s">
        <v>221</v>
      </c>
      <c r="D13" s="26" t="s">
        <v>222</v>
      </c>
      <c r="E13" s="26" t="s">
        <v>223</v>
      </c>
      <c r="F13" s="26" t="s">
        <v>224</v>
      </c>
      <c r="G13" s="26"/>
      <c r="H13" s="26"/>
      <c r="I13" s="26"/>
      <c r="J13" s="27"/>
      <c r="K13" s="177"/>
      <c r="L13" s="21" t="s">
        <v>225</v>
      </c>
      <c r="M13" s="22" t="s">
        <v>226</v>
      </c>
      <c r="N13" s="22" t="s">
        <v>227</v>
      </c>
      <c r="O13" s="22" t="s">
        <v>228</v>
      </c>
      <c r="P13" s="22" t="s">
        <v>229</v>
      </c>
      <c r="Q13" s="22" t="s">
        <v>230</v>
      </c>
      <c r="R13" s="22" t="s">
        <v>231</v>
      </c>
      <c r="S13" s="22" t="s">
        <v>232</v>
      </c>
      <c r="T13" s="23" t="s">
        <v>233</v>
      </c>
    </row>
    <row r="14" spans="1:20" ht="15.75" customHeight="1">
      <c r="A14" s="176" t="s">
        <v>234</v>
      </c>
      <c r="B14" s="18" t="s">
        <v>235</v>
      </c>
      <c r="C14" s="19" t="s">
        <v>236</v>
      </c>
      <c r="D14" s="19" t="s">
        <v>237</v>
      </c>
      <c r="E14" s="19" t="s">
        <v>238</v>
      </c>
      <c r="F14" s="19" t="s">
        <v>239</v>
      </c>
      <c r="G14" s="19" t="s">
        <v>240</v>
      </c>
      <c r="H14" s="19" t="s">
        <v>241</v>
      </c>
      <c r="I14" s="19" t="s">
        <v>242</v>
      </c>
      <c r="J14" s="20" t="s">
        <v>243</v>
      </c>
      <c r="K14" s="177"/>
      <c r="L14" s="21" t="s">
        <v>244</v>
      </c>
      <c r="M14" s="22" t="s">
        <v>245</v>
      </c>
      <c r="N14" s="22" t="s">
        <v>246</v>
      </c>
      <c r="O14" s="22" t="s">
        <v>247</v>
      </c>
      <c r="P14" s="22" t="s">
        <v>248</v>
      </c>
      <c r="Q14" s="22" t="s">
        <v>249</v>
      </c>
      <c r="R14" s="22" t="s">
        <v>250</v>
      </c>
      <c r="S14" s="22" t="s">
        <v>251</v>
      </c>
      <c r="T14" s="23" t="s">
        <v>252</v>
      </c>
    </row>
    <row r="15" spans="1:20" ht="15.75" customHeight="1">
      <c r="A15" s="177"/>
      <c r="B15" s="21" t="s">
        <v>253</v>
      </c>
      <c r="C15" s="22" t="s">
        <v>254</v>
      </c>
      <c r="D15" s="22" t="s">
        <v>255</v>
      </c>
      <c r="E15" s="22" t="s">
        <v>256</v>
      </c>
      <c r="F15" s="22" t="s">
        <v>257</v>
      </c>
      <c r="G15" s="22" t="s">
        <v>258</v>
      </c>
      <c r="H15" s="22" t="s">
        <v>259</v>
      </c>
      <c r="I15" s="22" t="s">
        <v>260</v>
      </c>
      <c r="J15" s="23" t="s">
        <v>261</v>
      </c>
      <c r="K15" s="177"/>
      <c r="L15" s="21" t="s">
        <v>262</v>
      </c>
      <c r="M15" s="22" t="s">
        <v>263</v>
      </c>
      <c r="N15" s="22" t="s">
        <v>264</v>
      </c>
      <c r="O15" s="22" t="s">
        <v>265</v>
      </c>
      <c r="P15" s="22" t="s">
        <v>266</v>
      </c>
      <c r="Q15" s="22" t="s">
        <v>267</v>
      </c>
      <c r="R15" s="22" t="s">
        <v>268</v>
      </c>
      <c r="S15" s="22" t="s">
        <v>269</v>
      </c>
      <c r="T15" s="23" t="s">
        <v>270</v>
      </c>
    </row>
    <row r="16" spans="1:20" ht="15.75" customHeight="1">
      <c r="A16" s="177"/>
      <c r="B16" s="21" t="s">
        <v>271</v>
      </c>
      <c r="C16" s="22" t="s">
        <v>272</v>
      </c>
      <c r="D16" s="22" t="s">
        <v>273</v>
      </c>
      <c r="E16" s="22" t="s">
        <v>274</v>
      </c>
      <c r="F16" s="22" t="s">
        <v>275</v>
      </c>
      <c r="G16" s="22" t="s">
        <v>276</v>
      </c>
      <c r="H16" s="22" t="s">
        <v>277</v>
      </c>
      <c r="I16" s="22" t="s">
        <v>278</v>
      </c>
      <c r="J16" s="23" t="s">
        <v>279</v>
      </c>
      <c r="K16" s="177"/>
      <c r="L16" s="21" t="s">
        <v>280</v>
      </c>
      <c r="M16" s="22" t="s">
        <v>281</v>
      </c>
      <c r="N16" s="22" t="s">
        <v>282</v>
      </c>
      <c r="O16" s="22" t="s">
        <v>283</v>
      </c>
      <c r="P16" s="22" t="s">
        <v>284</v>
      </c>
      <c r="Q16" s="22" t="s">
        <v>285</v>
      </c>
      <c r="R16" s="22" t="s">
        <v>286</v>
      </c>
      <c r="S16" s="22" t="s">
        <v>287</v>
      </c>
      <c r="T16" s="23" t="s">
        <v>288</v>
      </c>
    </row>
    <row r="17" spans="1:20" ht="15.75" customHeight="1">
      <c r="A17" s="177"/>
      <c r="B17" s="21" t="s">
        <v>289</v>
      </c>
      <c r="C17" s="22" t="s">
        <v>290</v>
      </c>
      <c r="D17" s="22" t="s">
        <v>291</v>
      </c>
      <c r="E17" s="22" t="s">
        <v>292</v>
      </c>
      <c r="F17" s="22" t="s">
        <v>293</v>
      </c>
      <c r="G17" s="22" t="s">
        <v>294</v>
      </c>
      <c r="H17" s="22" t="s">
        <v>295</v>
      </c>
      <c r="I17" s="22" t="s">
        <v>296</v>
      </c>
      <c r="J17" s="23" t="s">
        <v>297</v>
      </c>
      <c r="K17" s="177"/>
      <c r="L17" s="21" t="s">
        <v>298</v>
      </c>
      <c r="M17" s="22" t="s">
        <v>299</v>
      </c>
      <c r="N17" s="22" t="s">
        <v>300</v>
      </c>
      <c r="O17" s="22" t="s">
        <v>301</v>
      </c>
      <c r="P17" s="22" t="s">
        <v>302</v>
      </c>
      <c r="Q17" s="22" t="s">
        <v>303</v>
      </c>
      <c r="R17" s="22" t="s">
        <v>304</v>
      </c>
      <c r="S17" s="22" t="s">
        <v>305</v>
      </c>
      <c r="T17" s="23" t="s">
        <v>306</v>
      </c>
    </row>
    <row r="18" spans="1:20" ht="15.75" customHeight="1">
      <c r="A18" s="177"/>
      <c r="B18" s="21" t="s">
        <v>307</v>
      </c>
      <c r="C18" s="22" t="s">
        <v>308</v>
      </c>
      <c r="D18" s="22" t="s">
        <v>309</v>
      </c>
      <c r="E18" s="22" t="s">
        <v>310</v>
      </c>
      <c r="F18" s="22" t="s">
        <v>311</v>
      </c>
      <c r="G18" s="22" t="s">
        <v>312</v>
      </c>
      <c r="H18" s="22" t="s">
        <v>313</v>
      </c>
      <c r="I18" s="22" t="s">
        <v>314</v>
      </c>
      <c r="J18" s="23" t="s">
        <v>315</v>
      </c>
      <c r="K18" s="178"/>
      <c r="L18" s="25" t="s">
        <v>316</v>
      </c>
      <c r="M18" s="26"/>
      <c r="N18" s="26"/>
      <c r="O18" s="26"/>
      <c r="P18" s="26"/>
      <c r="Q18" s="26"/>
      <c r="R18" s="26"/>
      <c r="S18" s="26"/>
      <c r="T18" s="27"/>
    </row>
    <row r="19" spans="1:20" ht="15.75" customHeight="1">
      <c r="A19" s="178"/>
      <c r="B19" s="25" t="s">
        <v>317</v>
      </c>
      <c r="C19" s="26" t="s">
        <v>318</v>
      </c>
      <c r="D19" s="26" t="s">
        <v>319</v>
      </c>
      <c r="E19" s="26"/>
      <c r="F19" s="26"/>
      <c r="G19" s="26"/>
      <c r="H19" s="26"/>
      <c r="I19" s="26"/>
      <c r="J19" s="27"/>
      <c r="K19" s="176" t="s">
        <v>320</v>
      </c>
      <c r="L19" s="18">
        <v>0</v>
      </c>
      <c r="M19" s="19">
        <v>1</v>
      </c>
      <c r="N19" s="19">
        <v>2</v>
      </c>
      <c r="O19" s="19">
        <v>3</v>
      </c>
      <c r="P19" s="19">
        <v>4</v>
      </c>
      <c r="Q19" s="19">
        <v>5</v>
      </c>
      <c r="R19" s="19">
        <v>6</v>
      </c>
      <c r="S19" s="19">
        <v>7</v>
      </c>
      <c r="T19" s="20">
        <v>8</v>
      </c>
    </row>
    <row r="20" spans="1:20" ht="15.75" customHeight="1">
      <c r="A20" s="176" t="s">
        <v>321</v>
      </c>
      <c r="B20" s="18" t="s">
        <v>322</v>
      </c>
      <c r="C20" s="19" t="s">
        <v>323</v>
      </c>
      <c r="D20" s="19" t="s">
        <v>324</v>
      </c>
      <c r="E20" s="19" t="s">
        <v>325</v>
      </c>
      <c r="F20" s="19" t="s">
        <v>326</v>
      </c>
      <c r="G20" s="19" t="s">
        <v>327</v>
      </c>
      <c r="H20" s="19" t="s">
        <v>328</v>
      </c>
      <c r="I20" s="19" t="s">
        <v>329</v>
      </c>
      <c r="J20" s="20" t="s">
        <v>330</v>
      </c>
      <c r="K20" s="177"/>
      <c r="L20" s="21">
        <v>9</v>
      </c>
      <c r="M20" s="22" t="s">
        <v>331</v>
      </c>
      <c r="N20" s="22" t="s">
        <v>332</v>
      </c>
      <c r="O20" s="22" t="s">
        <v>333</v>
      </c>
      <c r="P20" s="22" t="s">
        <v>334</v>
      </c>
      <c r="Q20" s="22" t="s">
        <v>335</v>
      </c>
      <c r="R20" s="22" t="s">
        <v>336</v>
      </c>
      <c r="S20" s="22" t="s">
        <v>337</v>
      </c>
      <c r="T20" s="23" t="s">
        <v>338</v>
      </c>
    </row>
    <row r="21" spans="1:20" ht="15.75" customHeight="1">
      <c r="A21" s="177"/>
      <c r="B21" s="21" t="s">
        <v>339</v>
      </c>
      <c r="C21" s="22" t="s">
        <v>340</v>
      </c>
      <c r="D21" s="22" t="s">
        <v>341</v>
      </c>
      <c r="E21" s="22" t="s">
        <v>342</v>
      </c>
      <c r="F21" s="22" t="s">
        <v>343</v>
      </c>
      <c r="G21" s="22" t="s">
        <v>344</v>
      </c>
      <c r="H21" s="22" t="s">
        <v>345</v>
      </c>
      <c r="I21" s="22" t="s">
        <v>346</v>
      </c>
      <c r="J21" s="23" t="s">
        <v>347</v>
      </c>
      <c r="K21" s="177"/>
      <c r="L21" s="21" t="s">
        <v>348</v>
      </c>
      <c r="M21" s="22" t="s">
        <v>349</v>
      </c>
      <c r="N21" s="22" t="s">
        <v>350</v>
      </c>
      <c r="O21" s="22" t="s">
        <v>351</v>
      </c>
      <c r="P21" s="22" t="s">
        <v>352</v>
      </c>
      <c r="Q21" s="22" t="s">
        <v>353</v>
      </c>
      <c r="R21" s="22" t="s">
        <v>354</v>
      </c>
      <c r="S21" s="22" t="s">
        <v>355</v>
      </c>
      <c r="T21" s="23" t="s">
        <v>356</v>
      </c>
    </row>
    <row r="22" spans="1:20" ht="15.75" customHeight="1">
      <c r="A22" s="177"/>
      <c r="B22" s="21" t="s">
        <v>357</v>
      </c>
      <c r="C22" s="22" t="s">
        <v>358</v>
      </c>
      <c r="D22" s="22" t="s">
        <v>359</v>
      </c>
      <c r="E22" s="22" t="s">
        <v>360</v>
      </c>
      <c r="F22" s="22" t="s">
        <v>361</v>
      </c>
      <c r="G22" s="22" t="s">
        <v>362</v>
      </c>
      <c r="H22" s="22" t="s">
        <v>363</v>
      </c>
      <c r="I22" s="22" t="s">
        <v>364</v>
      </c>
      <c r="J22" s="23" t="s">
        <v>365</v>
      </c>
      <c r="K22" s="178"/>
      <c r="L22" s="25" t="s">
        <v>366</v>
      </c>
      <c r="M22" s="26" t="s">
        <v>367</v>
      </c>
      <c r="N22" s="26" t="s">
        <v>368</v>
      </c>
      <c r="O22" s="26"/>
      <c r="P22" s="26"/>
      <c r="Q22" s="26"/>
      <c r="R22" s="26"/>
      <c r="S22" s="26"/>
      <c r="T22" s="27"/>
    </row>
    <row r="23" spans="1:20" ht="15.75" customHeight="1">
      <c r="A23" s="177"/>
      <c r="B23" s="21" t="s">
        <v>369</v>
      </c>
      <c r="C23" s="22" t="s">
        <v>370</v>
      </c>
      <c r="D23" s="22" t="s">
        <v>371</v>
      </c>
      <c r="E23" s="22" t="s">
        <v>372</v>
      </c>
      <c r="F23" s="22" t="s">
        <v>373</v>
      </c>
      <c r="G23" s="22" t="s">
        <v>374</v>
      </c>
      <c r="H23" s="22" t="s">
        <v>375</v>
      </c>
      <c r="I23" s="22" t="s">
        <v>376</v>
      </c>
      <c r="J23" s="23" t="s">
        <v>377</v>
      </c>
      <c r="K23" s="176" t="s">
        <v>378</v>
      </c>
      <c r="L23" s="18" t="s">
        <v>379</v>
      </c>
      <c r="M23" s="19" t="s">
        <v>380</v>
      </c>
      <c r="N23" s="19" t="s">
        <v>380</v>
      </c>
      <c r="O23" s="19" t="s">
        <v>381</v>
      </c>
      <c r="P23" s="19" t="s">
        <v>382</v>
      </c>
      <c r="Q23" s="19" t="s">
        <v>383</v>
      </c>
      <c r="R23" s="19" t="s">
        <v>384</v>
      </c>
      <c r="S23" s="19" t="s">
        <v>385</v>
      </c>
      <c r="T23" s="20" t="s">
        <v>386</v>
      </c>
    </row>
    <row r="24" spans="1:20" ht="15.75" customHeight="1">
      <c r="A24" s="177"/>
      <c r="B24" s="21" t="s">
        <v>387</v>
      </c>
      <c r="C24" s="22" t="s">
        <v>388</v>
      </c>
      <c r="D24" s="22" t="s">
        <v>389</v>
      </c>
      <c r="E24" s="22" t="s">
        <v>390</v>
      </c>
      <c r="F24" s="22" t="s">
        <v>391</v>
      </c>
      <c r="G24" s="22" t="s">
        <v>392</v>
      </c>
      <c r="H24" s="22" t="s">
        <v>393</v>
      </c>
      <c r="I24" s="22" t="s">
        <v>394</v>
      </c>
      <c r="J24" s="23" t="s">
        <v>395</v>
      </c>
      <c r="K24" s="178"/>
      <c r="L24" s="25" t="s">
        <v>396</v>
      </c>
      <c r="M24" s="26" t="s">
        <v>397</v>
      </c>
      <c r="N24" s="26" t="s">
        <v>398</v>
      </c>
      <c r="O24" s="26" t="s">
        <v>399</v>
      </c>
      <c r="P24" s="26" t="s">
        <v>400</v>
      </c>
      <c r="Q24" s="26" t="s">
        <v>401</v>
      </c>
      <c r="R24" s="26" t="s">
        <v>402</v>
      </c>
      <c r="S24" s="26" t="s">
        <v>403</v>
      </c>
      <c r="T24" s="27" t="s">
        <v>404</v>
      </c>
    </row>
    <row r="25" spans="1:20" ht="15.75" customHeight="1">
      <c r="A25" s="177"/>
      <c r="B25" s="21" t="s">
        <v>405</v>
      </c>
      <c r="C25" s="22" t="s">
        <v>406</v>
      </c>
      <c r="D25" s="22" t="s">
        <v>407</v>
      </c>
      <c r="E25" s="22" t="s">
        <v>408</v>
      </c>
      <c r="F25" s="22" t="s">
        <v>409</v>
      </c>
      <c r="G25" s="22" t="s">
        <v>410</v>
      </c>
      <c r="H25" s="22" t="s">
        <v>411</v>
      </c>
      <c r="I25" s="22" t="s">
        <v>412</v>
      </c>
      <c r="J25" s="23" t="s">
        <v>413</v>
      </c>
      <c r="K25" s="176" t="s">
        <v>414</v>
      </c>
      <c r="L25" s="18" t="s">
        <v>415</v>
      </c>
      <c r="M25" s="19" t="s">
        <v>416</v>
      </c>
      <c r="N25" s="19" t="s">
        <v>417</v>
      </c>
      <c r="O25" s="19" t="s">
        <v>418</v>
      </c>
      <c r="P25" s="19" t="s">
        <v>419</v>
      </c>
      <c r="Q25" s="19" t="s">
        <v>420</v>
      </c>
      <c r="R25" s="19" t="s">
        <v>421</v>
      </c>
      <c r="S25" s="19" t="s">
        <v>422</v>
      </c>
      <c r="T25" s="20" t="s">
        <v>423</v>
      </c>
    </row>
    <row r="26" spans="1:20" ht="15.75" customHeight="1">
      <c r="A26" s="177"/>
      <c r="B26" s="21" t="s">
        <v>424</v>
      </c>
      <c r="C26" s="22" t="s">
        <v>425</v>
      </c>
      <c r="D26" s="22" t="s">
        <v>426</v>
      </c>
      <c r="E26" s="22" t="s">
        <v>427</v>
      </c>
      <c r="F26" s="22" t="s">
        <v>428</v>
      </c>
      <c r="G26" s="22" t="s">
        <v>429</v>
      </c>
      <c r="H26" s="22" t="s">
        <v>430</v>
      </c>
      <c r="I26" s="22" t="s">
        <v>431</v>
      </c>
      <c r="J26" s="23" t="s">
        <v>432</v>
      </c>
      <c r="K26" s="177"/>
      <c r="L26" s="21" t="s">
        <v>433</v>
      </c>
      <c r="M26" s="22" t="s">
        <v>434</v>
      </c>
      <c r="N26" s="22" t="s">
        <v>435</v>
      </c>
      <c r="O26" s="22" t="s">
        <v>436</v>
      </c>
      <c r="P26" s="22" t="s">
        <v>437</v>
      </c>
      <c r="Q26" s="22" t="s">
        <v>438</v>
      </c>
      <c r="R26" s="22" t="s">
        <v>439</v>
      </c>
      <c r="S26" s="22" t="s">
        <v>440</v>
      </c>
      <c r="T26" s="23" t="s">
        <v>441</v>
      </c>
    </row>
    <row r="27" spans="1:20" ht="15.75" customHeight="1">
      <c r="A27" s="177"/>
      <c r="B27" s="21" t="s">
        <v>442</v>
      </c>
      <c r="C27" s="22" t="s">
        <v>443</v>
      </c>
      <c r="D27" s="22" t="s">
        <v>444</v>
      </c>
      <c r="E27" s="22" t="s">
        <v>445</v>
      </c>
      <c r="F27" s="22" t="s">
        <v>446</v>
      </c>
      <c r="G27" s="22" t="s">
        <v>447</v>
      </c>
      <c r="H27" s="22" t="s">
        <v>448</v>
      </c>
      <c r="I27" s="22" t="s">
        <v>449</v>
      </c>
      <c r="J27" s="23" t="s">
        <v>450</v>
      </c>
      <c r="K27" s="177"/>
      <c r="L27" s="21" t="s">
        <v>451</v>
      </c>
      <c r="M27" s="22" t="s">
        <v>452</v>
      </c>
      <c r="N27" s="22" t="s">
        <v>453</v>
      </c>
      <c r="O27" s="22" t="s">
        <v>454</v>
      </c>
      <c r="P27" s="22" t="s">
        <v>455</v>
      </c>
      <c r="Q27" s="22" t="s">
        <v>456</v>
      </c>
      <c r="R27" s="22" t="s">
        <v>457</v>
      </c>
      <c r="S27" s="22" t="s">
        <v>458</v>
      </c>
      <c r="T27" s="23" t="s">
        <v>459</v>
      </c>
    </row>
    <row r="28" spans="1:20" ht="15.75" customHeight="1">
      <c r="A28" s="177"/>
      <c r="B28" s="21" t="s">
        <v>460</v>
      </c>
      <c r="C28" s="22" t="s">
        <v>461</v>
      </c>
      <c r="D28" s="22" t="s">
        <v>462</v>
      </c>
      <c r="E28" s="22" t="s">
        <v>463</v>
      </c>
      <c r="F28" s="22" t="s">
        <v>464</v>
      </c>
      <c r="G28" s="22" t="s">
        <v>465</v>
      </c>
      <c r="H28" s="22" t="s">
        <v>465</v>
      </c>
      <c r="I28" s="22" t="s">
        <v>466</v>
      </c>
      <c r="J28" s="23" t="s">
        <v>467</v>
      </c>
      <c r="K28" s="177"/>
      <c r="L28" s="21" t="s">
        <v>468</v>
      </c>
      <c r="M28" s="22" t="s">
        <v>469</v>
      </c>
      <c r="N28" s="22" t="s">
        <v>470</v>
      </c>
      <c r="O28" s="22" t="s">
        <v>471</v>
      </c>
      <c r="P28" s="22" t="s">
        <v>472</v>
      </c>
      <c r="Q28" s="22" t="s">
        <v>473</v>
      </c>
      <c r="R28" s="22" t="s">
        <v>474</v>
      </c>
      <c r="S28" s="22" t="s">
        <v>475</v>
      </c>
      <c r="T28" s="23" t="s">
        <v>476</v>
      </c>
    </row>
    <row r="29" spans="1:20" ht="15.75" customHeight="1">
      <c r="A29" s="177"/>
      <c r="B29" s="21" t="s">
        <v>477</v>
      </c>
      <c r="C29" s="22" t="s">
        <v>478</v>
      </c>
      <c r="D29" s="22" t="s">
        <v>479</v>
      </c>
      <c r="E29" s="22" t="s">
        <v>480</v>
      </c>
      <c r="F29" s="22" t="s">
        <v>481</v>
      </c>
      <c r="G29" s="22" t="s">
        <v>482</v>
      </c>
      <c r="H29" s="22" t="s">
        <v>483</v>
      </c>
      <c r="I29" s="22" t="s">
        <v>484</v>
      </c>
      <c r="J29" s="23" t="s">
        <v>485</v>
      </c>
      <c r="K29" s="177"/>
      <c r="L29" s="21" t="s">
        <v>486</v>
      </c>
      <c r="M29" s="22" t="s">
        <v>487</v>
      </c>
      <c r="N29" s="22" t="s">
        <v>488</v>
      </c>
      <c r="O29" s="22" t="s">
        <v>489</v>
      </c>
      <c r="P29" s="22" t="s">
        <v>490</v>
      </c>
      <c r="Q29" s="22" t="s">
        <v>491</v>
      </c>
      <c r="R29" s="22" t="s">
        <v>492</v>
      </c>
      <c r="S29" s="22" t="s">
        <v>493</v>
      </c>
      <c r="T29" s="23" t="s">
        <v>494</v>
      </c>
    </row>
    <row r="30" spans="1:20" ht="15.75" customHeight="1">
      <c r="A30" s="179"/>
      <c r="B30" s="28" t="s">
        <v>495</v>
      </c>
      <c r="C30" s="29" t="s">
        <v>496</v>
      </c>
      <c r="D30" s="29" t="s">
        <v>497</v>
      </c>
      <c r="E30" s="29"/>
      <c r="F30" s="29"/>
      <c r="G30" s="29"/>
      <c r="H30" s="29"/>
      <c r="I30" s="29"/>
      <c r="J30" s="30"/>
      <c r="K30" s="179"/>
      <c r="L30" s="28" t="s">
        <v>498</v>
      </c>
      <c r="M30" s="29" t="s">
        <v>499</v>
      </c>
      <c r="N30" s="29" t="s">
        <v>500</v>
      </c>
      <c r="O30" s="29" t="s">
        <v>501</v>
      </c>
      <c r="P30" s="29" t="s">
        <v>502</v>
      </c>
      <c r="Q30" s="29" t="s">
        <v>503</v>
      </c>
      <c r="R30" s="29"/>
      <c r="S30" s="29"/>
      <c r="T30" s="30"/>
    </row>
    <row r="31" spans="1:20" ht="15.75" customHeight="1">
      <c r="A31" s="176" t="s">
        <v>504</v>
      </c>
      <c r="B31" s="18" t="s">
        <v>505</v>
      </c>
      <c r="C31" s="19" t="s">
        <v>506</v>
      </c>
      <c r="D31" s="19" t="s">
        <v>507</v>
      </c>
      <c r="E31" s="19" t="s">
        <v>508</v>
      </c>
      <c r="F31" s="19" t="s">
        <v>509</v>
      </c>
      <c r="G31" s="19" t="s">
        <v>510</v>
      </c>
      <c r="H31" s="19" t="s">
        <v>511</v>
      </c>
      <c r="I31" s="19" t="s">
        <v>512</v>
      </c>
      <c r="J31" s="20" t="s">
        <v>513</v>
      </c>
      <c r="K31" s="176" t="s">
        <v>514</v>
      </c>
      <c r="L31" s="18" t="s">
        <v>515</v>
      </c>
      <c r="M31" s="19" t="s">
        <v>516</v>
      </c>
      <c r="N31" s="19" t="s">
        <v>517</v>
      </c>
      <c r="O31" s="19" t="s">
        <v>518</v>
      </c>
      <c r="P31" s="19" t="s">
        <v>519</v>
      </c>
      <c r="Q31" s="19" t="s">
        <v>520</v>
      </c>
      <c r="R31" s="19" t="s">
        <v>521</v>
      </c>
      <c r="S31" s="19" t="s">
        <v>522</v>
      </c>
      <c r="T31" s="20" t="s">
        <v>523</v>
      </c>
    </row>
    <row r="32" spans="1:20" ht="15.75" customHeight="1">
      <c r="A32" s="177"/>
      <c r="B32" s="21" t="s">
        <v>524</v>
      </c>
      <c r="C32" s="22" t="s">
        <v>525</v>
      </c>
      <c r="D32" s="22" t="s">
        <v>526</v>
      </c>
      <c r="E32" s="22" t="s">
        <v>527</v>
      </c>
      <c r="F32" s="22" t="s">
        <v>528</v>
      </c>
      <c r="G32" s="22" t="s">
        <v>529</v>
      </c>
      <c r="H32" s="22" t="s">
        <v>530</v>
      </c>
      <c r="I32" s="22" t="s">
        <v>531</v>
      </c>
      <c r="J32" s="23" t="s">
        <v>532</v>
      </c>
      <c r="K32" s="177"/>
      <c r="L32" s="21" t="s">
        <v>533</v>
      </c>
      <c r="M32" s="22" t="s">
        <v>534</v>
      </c>
      <c r="N32" s="22" t="s">
        <v>535</v>
      </c>
      <c r="O32" s="22" t="s">
        <v>536</v>
      </c>
      <c r="P32" s="22" t="s">
        <v>537</v>
      </c>
      <c r="Q32" s="22" t="s">
        <v>538</v>
      </c>
      <c r="R32" s="22" t="s">
        <v>539</v>
      </c>
      <c r="S32" s="22" t="s">
        <v>540</v>
      </c>
      <c r="T32" s="23" t="s">
        <v>541</v>
      </c>
    </row>
    <row r="33" spans="1:20" ht="15.75" customHeight="1">
      <c r="A33" s="177"/>
      <c r="B33" s="21" t="s">
        <v>542</v>
      </c>
      <c r="C33" s="22" t="s">
        <v>543</v>
      </c>
      <c r="D33" s="22" t="s">
        <v>544</v>
      </c>
      <c r="E33" s="22" t="s">
        <v>545</v>
      </c>
      <c r="F33" s="22" t="s">
        <v>546</v>
      </c>
      <c r="G33" s="22" t="s">
        <v>547</v>
      </c>
      <c r="H33" s="22" t="s">
        <v>548</v>
      </c>
      <c r="I33" s="22" t="s">
        <v>549</v>
      </c>
      <c r="J33" s="23" t="s">
        <v>550</v>
      </c>
      <c r="K33" s="177"/>
      <c r="L33" s="21" t="s">
        <v>551</v>
      </c>
      <c r="M33" s="22" t="s">
        <v>552</v>
      </c>
      <c r="N33" s="22" t="s">
        <v>553</v>
      </c>
      <c r="O33" s="22" t="s">
        <v>554</v>
      </c>
      <c r="P33" s="22" t="s">
        <v>555</v>
      </c>
      <c r="Q33" s="22" t="s">
        <v>556</v>
      </c>
      <c r="R33" s="22" t="s">
        <v>557</v>
      </c>
      <c r="S33" s="22" t="s">
        <v>558</v>
      </c>
      <c r="T33" s="23" t="s">
        <v>559</v>
      </c>
    </row>
    <row r="34" spans="1:20" ht="15.75" customHeight="1">
      <c r="A34" s="177"/>
      <c r="B34" s="21" t="s">
        <v>560</v>
      </c>
      <c r="C34" s="22" t="s">
        <v>561</v>
      </c>
      <c r="D34" s="22" t="s">
        <v>562</v>
      </c>
      <c r="E34" s="22" t="s">
        <v>563</v>
      </c>
      <c r="F34" s="22" t="s">
        <v>564</v>
      </c>
      <c r="G34" s="22" t="s">
        <v>565</v>
      </c>
      <c r="H34" s="22" t="s">
        <v>566</v>
      </c>
      <c r="I34" s="22" t="s">
        <v>567</v>
      </c>
      <c r="J34" s="23" t="s">
        <v>568</v>
      </c>
      <c r="K34" s="177"/>
      <c r="L34" s="21" t="s">
        <v>569</v>
      </c>
      <c r="M34" s="22" t="s">
        <v>570</v>
      </c>
      <c r="N34" s="22" t="s">
        <v>571</v>
      </c>
      <c r="O34" s="22" t="s">
        <v>572</v>
      </c>
      <c r="P34" s="22" t="s">
        <v>573</v>
      </c>
      <c r="Q34" s="22" t="s">
        <v>574</v>
      </c>
      <c r="R34" s="22" t="s">
        <v>575</v>
      </c>
      <c r="S34" s="22" t="s">
        <v>576</v>
      </c>
      <c r="T34" s="23" t="s">
        <v>577</v>
      </c>
    </row>
    <row r="35" spans="1:20" ht="15.75" customHeight="1">
      <c r="A35" s="177"/>
      <c r="B35" s="21" t="s">
        <v>578</v>
      </c>
      <c r="C35" s="22" t="s">
        <v>579</v>
      </c>
      <c r="D35" s="22" t="s">
        <v>580</v>
      </c>
      <c r="E35" s="22" t="s">
        <v>581</v>
      </c>
      <c r="F35" s="22" t="s">
        <v>582</v>
      </c>
      <c r="G35" s="22" t="s">
        <v>583</v>
      </c>
      <c r="H35" s="22" t="s">
        <v>584</v>
      </c>
      <c r="I35" s="22" t="s">
        <v>585</v>
      </c>
      <c r="J35" s="23" t="s">
        <v>586</v>
      </c>
      <c r="K35" s="178"/>
      <c r="L35" s="25" t="s">
        <v>587</v>
      </c>
      <c r="M35" s="26" t="s">
        <v>588</v>
      </c>
      <c r="N35" s="26" t="s">
        <v>589</v>
      </c>
      <c r="O35" s="26" t="s">
        <v>590</v>
      </c>
      <c r="P35" s="26" t="s">
        <v>591</v>
      </c>
      <c r="Q35" s="26" t="s">
        <v>592</v>
      </c>
      <c r="R35" s="26"/>
      <c r="S35" s="26"/>
      <c r="T35" s="27"/>
    </row>
    <row r="36" spans="1:20" ht="15.75" customHeight="1">
      <c r="A36" s="177"/>
      <c r="B36" s="21" t="s">
        <v>593</v>
      </c>
      <c r="C36" s="22" t="s">
        <v>594</v>
      </c>
      <c r="D36" s="22" t="s">
        <v>595</v>
      </c>
      <c r="E36" s="22" t="s">
        <v>596</v>
      </c>
      <c r="F36" s="22" t="s">
        <v>597</v>
      </c>
      <c r="G36" s="22" t="s">
        <v>598</v>
      </c>
      <c r="H36" s="22" t="s">
        <v>599</v>
      </c>
      <c r="I36" s="22" t="s">
        <v>600</v>
      </c>
      <c r="J36" s="23" t="s">
        <v>601</v>
      </c>
      <c r="K36" s="176" t="s">
        <v>602</v>
      </c>
      <c r="L36" s="18" t="s">
        <v>603</v>
      </c>
      <c r="M36" s="19" t="s">
        <v>604</v>
      </c>
      <c r="N36" s="19" t="s">
        <v>605</v>
      </c>
      <c r="O36" s="19" t="s">
        <v>606</v>
      </c>
      <c r="P36" s="19" t="s">
        <v>607</v>
      </c>
      <c r="Q36" s="19" t="s">
        <v>325</v>
      </c>
      <c r="R36" s="19" t="s">
        <v>608</v>
      </c>
      <c r="S36" s="19" t="s">
        <v>609</v>
      </c>
      <c r="T36" s="20" t="s">
        <v>610</v>
      </c>
    </row>
    <row r="37" spans="1:20" ht="15.75" customHeight="1">
      <c r="A37" s="177"/>
      <c r="B37" s="21" t="s">
        <v>611</v>
      </c>
      <c r="C37" s="22" t="s">
        <v>612</v>
      </c>
      <c r="D37" s="22" t="s">
        <v>613</v>
      </c>
      <c r="E37" s="22" t="s">
        <v>614</v>
      </c>
      <c r="F37" s="22" t="s">
        <v>615</v>
      </c>
      <c r="G37" s="22" t="s">
        <v>616</v>
      </c>
      <c r="H37" s="22" t="s">
        <v>617</v>
      </c>
      <c r="I37" s="22" t="s">
        <v>618</v>
      </c>
      <c r="J37" s="23" t="s">
        <v>619</v>
      </c>
      <c r="K37" s="177"/>
      <c r="L37" s="21" t="s">
        <v>620</v>
      </c>
      <c r="M37" s="22" t="s">
        <v>621</v>
      </c>
      <c r="N37" s="22" t="s">
        <v>622</v>
      </c>
      <c r="O37" s="22" t="s">
        <v>623</v>
      </c>
      <c r="P37" s="22" t="s">
        <v>624</v>
      </c>
      <c r="Q37" s="22" t="s">
        <v>625</v>
      </c>
      <c r="R37" s="22" t="s">
        <v>626</v>
      </c>
      <c r="S37" s="22" t="s">
        <v>627</v>
      </c>
      <c r="T37" s="23" t="s">
        <v>628</v>
      </c>
    </row>
    <row r="38" spans="1:20" ht="15.75" customHeight="1">
      <c r="A38" s="177"/>
      <c r="B38" s="21" t="s">
        <v>629</v>
      </c>
      <c r="C38" s="22" t="s">
        <v>630</v>
      </c>
      <c r="D38" s="22" t="s">
        <v>631</v>
      </c>
      <c r="E38" s="22" t="s">
        <v>632</v>
      </c>
      <c r="F38" s="22" t="s">
        <v>633</v>
      </c>
      <c r="G38" s="22" t="s">
        <v>634</v>
      </c>
      <c r="H38" s="22" t="s">
        <v>635</v>
      </c>
      <c r="I38" s="22" t="s">
        <v>636</v>
      </c>
      <c r="J38" s="23" t="s">
        <v>637</v>
      </c>
      <c r="K38" s="177"/>
      <c r="L38" s="21" t="s">
        <v>638</v>
      </c>
      <c r="M38" s="22" t="s">
        <v>639</v>
      </c>
      <c r="N38" s="22" t="s">
        <v>640</v>
      </c>
      <c r="O38" s="22" t="s">
        <v>641</v>
      </c>
      <c r="P38" s="22" t="s">
        <v>642</v>
      </c>
      <c r="Q38" s="22" t="s">
        <v>643</v>
      </c>
      <c r="R38" s="22" t="s">
        <v>644</v>
      </c>
      <c r="S38" s="22" t="s">
        <v>645</v>
      </c>
      <c r="T38" s="23" t="s">
        <v>646</v>
      </c>
    </row>
    <row r="39" spans="1:20" ht="15.75" customHeight="1">
      <c r="A39" s="178"/>
      <c r="B39" s="25" t="s">
        <v>647</v>
      </c>
      <c r="C39" s="26" t="s">
        <v>648</v>
      </c>
      <c r="D39" s="26"/>
      <c r="E39" s="26"/>
      <c r="F39" s="26"/>
      <c r="G39" s="26"/>
      <c r="H39" s="26"/>
      <c r="I39" s="26"/>
      <c r="J39" s="27"/>
      <c r="K39" s="177"/>
      <c r="L39" s="21" t="s">
        <v>649</v>
      </c>
      <c r="M39" s="22" t="s">
        <v>650</v>
      </c>
      <c r="N39" s="22" t="s">
        <v>651</v>
      </c>
      <c r="O39" s="22" t="s">
        <v>652</v>
      </c>
      <c r="P39" s="22" t="s">
        <v>653</v>
      </c>
      <c r="Q39" s="22" t="s">
        <v>654</v>
      </c>
      <c r="R39" s="22" t="s">
        <v>655</v>
      </c>
      <c r="S39" s="22" t="s">
        <v>656</v>
      </c>
      <c r="T39" s="23" t="s">
        <v>657</v>
      </c>
    </row>
    <row r="40" spans="1:20" ht="15.75" customHeight="1">
      <c r="A40" s="176" t="s">
        <v>658</v>
      </c>
      <c r="B40" s="18" t="s">
        <v>659</v>
      </c>
      <c r="C40" s="19" t="s">
        <v>660</v>
      </c>
      <c r="D40" s="19" t="s">
        <v>661</v>
      </c>
      <c r="E40" s="19" t="s">
        <v>662</v>
      </c>
      <c r="F40" s="19" t="s">
        <v>663</v>
      </c>
      <c r="G40" s="19" t="s">
        <v>664</v>
      </c>
      <c r="H40" s="19" t="s">
        <v>665</v>
      </c>
      <c r="I40" s="19" t="s">
        <v>666</v>
      </c>
      <c r="J40" s="20" t="s">
        <v>667</v>
      </c>
      <c r="K40" s="177"/>
      <c r="L40" s="21" t="s">
        <v>668</v>
      </c>
      <c r="M40" s="22" t="s">
        <v>669</v>
      </c>
      <c r="N40" s="22" t="s">
        <v>670</v>
      </c>
      <c r="O40" s="22" t="s">
        <v>671</v>
      </c>
      <c r="P40" s="22" t="s">
        <v>672</v>
      </c>
      <c r="Q40" s="22" t="s">
        <v>673</v>
      </c>
      <c r="R40" s="22" t="s">
        <v>674</v>
      </c>
      <c r="S40" s="22" t="s">
        <v>675</v>
      </c>
      <c r="T40" s="23" t="s">
        <v>676</v>
      </c>
    </row>
    <row r="41" spans="1:20" ht="15.75" customHeight="1">
      <c r="A41" s="177"/>
      <c r="B41" s="21" t="s">
        <v>677</v>
      </c>
      <c r="C41" s="22" t="s">
        <v>678</v>
      </c>
      <c r="D41" s="22" t="s">
        <v>679</v>
      </c>
      <c r="E41" s="22" t="s">
        <v>680</v>
      </c>
      <c r="F41" s="22" t="s">
        <v>681</v>
      </c>
      <c r="G41" s="22" t="s">
        <v>682</v>
      </c>
      <c r="H41" s="22" t="s">
        <v>683</v>
      </c>
      <c r="I41" s="22" t="s">
        <v>684</v>
      </c>
      <c r="J41" s="23" t="s">
        <v>685</v>
      </c>
      <c r="K41" s="178"/>
      <c r="L41" s="25" t="s">
        <v>686</v>
      </c>
      <c r="M41" s="26" t="s">
        <v>687</v>
      </c>
      <c r="N41" s="26" t="s">
        <v>688</v>
      </c>
      <c r="O41" s="26" t="s">
        <v>689</v>
      </c>
      <c r="P41" s="26" t="s">
        <v>690</v>
      </c>
      <c r="Q41" s="26" t="s">
        <v>691</v>
      </c>
      <c r="R41" s="26" t="s">
        <v>692</v>
      </c>
      <c r="S41" s="26" t="s">
        <v>469</v>
      </c>
      <c r="T41" s="27"/>
    </row>
    <row r="42" spans="1:20" ht="15.75" customHeight="1">
      <c r="A42" s="177"/>
      <c r="B42" s="21" t="s">
        <v>693</v>
      </c>
      <c r="C42" s="22" t="s">
        <v>694</v>
      </c>
      <c r="D42" s="22" t="s">
        <v>695</v>
      </c>
      <c r="E42" s="22" t="s">
        <v>696</v>
      </c>
      <c r="F42" s="22" t="s">
        <v>697</v>
      </c>
      <c r="G42" s="22" t="s">
        <v>698</v>
      </c>
      <c r="H42" s="22" t="s">
        <v>699</v>
      </c>
      <c r="I42" s="22" t="s">
        <v>700</v>
      </c>
      <c r="J42" s="23" t="s">
        <v>701</v>
      </c>
      <c r="K42" s="176" t="s">
        <v>702</v>
      </c>
      <c r="L42" s="18" t="s">
        <v>703</v>
      </c>
      <c r="M42" s="19" t="s">
        <v>704</v>
      </c>
      <c r="N42" s="19" t="s">
        <v>705</v>
      </c>
      <c r="O42" s="19" t="s">
        <v>706</v>
      </c>
      <c r="P42" s="19" t="s">
        <v>707</v>
      </c>
      <c r="Q42" s="19" t="s">
        <v>708</v>
      </c>
      <c r="R42" s="19" t="s">
        <v>709</v>
      </c>
      <c r="S42" s="19" t="s">
        <v>710</v>
      </c>
      <c r="T42" s="20" t="s">
        <v>711</v>
      </c>
    </row>
    <row r="43" spans="1:20" ht="15.75" customHeight="1">
      <c r="A43" s="177"/>
      <c r="B43" s="21" t="s">
        <v>712</v>
      </c>
      <c r="C43" s="22" t="s">
        <v>713</v>
      </c>
      <c r="D43" s="22" t="s">
        <v>714</v>
      </c>
      <c r="E43" s="22" t="s">
        <v>715</v>
      </c>
      <c r="F43" s="22" t="s">
        <v>716</v>
      </c>
      <c r="G43" s="22" t="s">
        <v>717</v>
      </c>
      <c r="H43" s="22" t="s">
        <v>718</v>
      </c>
      <c r="I43" s="22" t="s">
        <v>719</v>
      </c>
      <c r="J43" s="23" t="s">
        <v>720</v>
      </c>
      <c r="K43" s="177"/>
      <c r="L43" s="21" t="s">
        <v>721</v>
      </c>
      <c r="M43" s="22" t="s">
        <v>722</v>
      </c>
      <c r="N43" s="22" t="s">
        <v>723</v>
      </c>
      <c r="O43" s="22" t="s">
        <v>724</v>
      </c>
      <c r="P43" s="22" t="s">
        <v>725</v>
      </c>
      <c r="Q43" s="22" t="s">
        <v>726</v>
      </c>
      <c r="R43" s="22" t="s">
        <v>727</v>
      </c>
      <c r="S43" s="22" t="s">
        <v>728</v>
      </c>
      <c r="T43" s="23" t="s">
        <v>729</v>
      </c>
    </row>
    <row r="44" spans="1:20" ht="15.75" customHeight="1">
      <c r="A44" s="177"/>
      <c r="B44" s="21" t="s">
        <v>730</v>
      </c>
      <c r="C44" s="22" t="s">
        <v>731</v>
      </c>
      <c r="D44" s="22" t="s">
        <v>732</v>
      </c>
      <c r="E44" s="22" t="s">
        <v>733</v>
      </c>
      <c r="F44" s="22" t="s">
        <v>734</v>
      </c>
      <c r="G44" s="22" t="s">
        <v>735</v>
      </c>
      <c r="H44" s="22" t="s">
        <v>736</v>
      </c>
      <c r="I44" s="22" t="s">
        <v>737</v>
      </c>
      <c r="J44" s="23" t="s">
        <v>738</v>
      </c>
      <c r="K44" s="177"/>
      <c r="L44" s="21" t="s">
        <v>739</v>
      </c>
      <c r="M44" s="22" t="s">
        <v>740</v>
      </c>
      <c r="N44" s="22" t="s">
        <v>741</v>
      </c>
      <c r="O44" s="22" t="s">
        <v>742</v>
      </c>
      <c r="P44" s="22" t="s">
        <v>743</v>
      </c>
      <c r="Q44" s="22" t="s">
        <v>744</v>
      </c>
      <c r="R44" s="22" t="s">
        <v>745</v>
      </c>
      <c r="S44" s="22" t="s">
        <v>746</v>
      </c>
      <c r="T44" s="23" t="s">
        <v>747</v>
      </c>
    </row>
    <row r="45" spans="1:20" ht="15.75" customHeight="1">
      <c r="A45" s="177"/>
      <c r="B45" s="21" t="s">
        <v>748</v>
      </c>
      <c r="C45" s="22" t="s">
        <v>749</v>
      </c>
      <c r="D45" s="22" t="s">
        <v>750</v>
      </c>
      <c r="E45" s="22" t="s">
        <v>751</v>
      </c>
      <c r="F45" s="22" t="s">
        <v>752</v>
      </c>
      <c r="G45" s="22" t="s">
        <v>753</v>
      </c>
      <c r="H45" s="22" t="s">
        <v>754</v>
      </c>
      <c r="I45" s="22" t="s">
        <v>755</v>
      </c>
      <c r="J45" s="23" t="s">
        <v>756</v>
      </c>
      <c r="K45" s="177"/>
      <c r="L45" s="21" t="s">
        <v>757</v>
      </c>
      <c r="M45" s="22" t="s">
        <v>758</v>
      </c>
      <c r="N45" s="22" t="s">
        <v>759</v>
      </c>
      <c r="O45" s="22" t="s">
        <v>760</v>
      </c>
      <c r="P45" s="22" t="s">
        <v>761</v>
      </c>
      <c r="Q45" s="22" t="s">
        <v>762</v>
      </c>
      <c r="R45" s="22" t="s">
        <v>763</v>
      </c>
      <c r="S45" s="22" t="s">
        <v>764</v>
      </c>
      <c r="T45" s="23" t="s">
        <v>765</v>
      </c>
    </row>
    <row r="46" spans="1:20" ht="15.75" customHeight="1">
      <c r="A46" s="177"/>
      <c r="B46" s="21" t="s">
        <v>766</v>
      </c>
      <c r="C46" s="22" t="s">
        <v>767</v>
      </c>
      <c r="D46" s="22" t="s">
        <v>768</v>
      </c>
      <c r="E46" s="22" t="s">
        <v>769</v>
      </c>
      <c r="F46" s="22" t="s">
        <v>770</v>
      </c>
      <c r="G46" s="22" t="s">
        <v>771</v>
      </c>
      <c r="H46" s="22" t="s">
        <v>772</v>
      </c>
      <c r="I46" s="22" t="s">
        <v>773</v>
      </c>
      <c r="J46" s="23" t="s">
        <v>774</v>
      </c>
      <c r="K46" s="177"/>
      <c r="L46" s="21" t="s">
        <v>775</v>
      </c>
      <c r="M46" s="22" t="s">
        <v>776</v>
      </c>
      <c r="N46" s="22" t="s">
        <v>777</v>
      </c>
      <c r="O46" s="22" t="s">
        <v>778</v>
      </c>
      <c r="P46" s="22" t="s">
        <v>779</v>
      </c>
      <c r="Q46" s="22" t="s">
        <v>780</v>
      </c>
      <c r="R46" s="22" t="s">
        <v>781</v>
      </c>
      <c r="S46" s="22" t="s">
        <v>782</v>
      </c>
      <c r="T46" s="23" t="s">
        <v>783</v>
      </c>
    </row>
    <row r="47" spans="1:20" ht="15.75" customHeight="1">
      <c r="A47" s="178"/>
      <c r="B47" s="25" t="s">
        <v>784</v>
      </c>
      <c r="C47" s="26" t="s">
        <v>785</v>
      </c>
      <c r="D47" s="26" t="s">
        <v>786</v>
      </c>
      <c r="E47" s="26" t="s">
        <v>787</v>
      </c>
      <c r="F47" s="26" t="s">
        <v>788</v>
      </c>
      <c r="G47" s="26"/>
      <c r="H47" s="26"/>
      <c r="I47" s="26"/>
      <c r="J47" s="27"/>
      <c r="K47" s="178"/>
      <c r="L47" s="25" t="s">
        <v>789</v>
      </c>
      <c r="M47" s="26" t="s">
        <v>790</v>
      </c>
      <c r="N47" s="26" t="s">
        <v>791</v>
      </c>
      <c r="O47" s="26"/>
      <c r="P47" s="26"/>
      <c r="Q47" s="26"/>
      <c r="R47" s="26"/>
      <c r="S47" s="26"/>
      <c r="T47" s="27"/>
    </row>
    <row r="49" s="17" customFormat="1" hidden="1"/>
    <row r="50" s="17" customFormat="1" hidden="1"/>
    <row r="51" s="17" customFormat="1" ht="13.5" hidden="1" customHeight="1"/>
    <row r="52" s="17" customFormat="1" ht="13.5" hidden="1" customHeight="1"/>
    <row r="53" s="17" customFormat="1" ht="13.5" hidden="1" customHeight="1"/>
    <row r="54" s="17" customFormat="1" ht="13.5" hidden="1" customHeight="1"/>
    <row r="55" s="17" customFormat="1" ht="13.5" hidden="1" customHeight="1"/>
    <row r="56" s="17" customFormat="1" ht="13.5" hidden="1" customHeight="1"/>
    <row r="57" s="17" customFormat="1" ht="13.5" hidden="1" customHeight="1"/>
    <row r="58" s="17" customFormat="1" ht="13.5" hidden="1" customHeight="1"/>
    <row r="59" s="17" customFormat="1" ht="13.5" hidden="1" customHeight="1"/>
    <row r="60" s="17" customFormat="1" ht="13.5" hidden="1" customHeight="1"/>
    <row r="61" s="17" customFormat="1" ht="13.5" hidden="1" customHeight="1"/>
    <row r="62" s="17" customFormat="1" ht="13.5" hidden="1" customHeight="1"/>
    <row r="63" s="17" customFormat="1" ht="13.5" hidden="1" customHeight="1"/>
    <row r="64" s="17" customFormat="1" ht="13.5" hidden="1" customHeight="1"/>
    <row r="65" s="17" customFormat="1" ht="13.5" hidden="1" customHeight="1"/>
    <row r="66" s="17" customFormat="1" ht="13.5" hidden="1" customHeight="1"/>
    <row r="67" s="17" customFormat="1" ht="13.5" hidden="1" customHeight="1"/>
    <row r="68" s="17" customFormat="1" ht="13.5" hidden="1" customHeight="1"/>
    <row r="69" s="17" customFormat="1" ht="13.5" hidden="1" customHeight="1"/>
    <row r="70" s="17" customFormat="1" ht="13.5" hidden="1" customHeight="1"/>
    <row r="71" s="17" customFormat="1" ht="13.5" hidden="1" customHeight="1"/>
    <row r="72" s="17" customFormat="1" ht="13.5" hidden="1" customHeight="1"/>
    <row r="73" s="17" customFormat="1" ht="13.5" hidden="1" customHeight="1"/>
    <row r="74" s="17" customFormat="1" ht="13.5" hidden="1" customHeight="1"/>
    <row r="75" s="17" customFormat="1" ht="13.5" hidden="1" customHeight="1"/>
    <row r="76" s="17" customFormat="1" ht="13.5" hidden="1" customHeight="1"/>
    <row r="77" s="17" customFormat="1" ht="13.5" hidden="1" customHeight="1"/>
    <row r="78" s="17" customFormat="1" ht="13.5" hidden="1" customHeight="1"/>
    <row r="79" s="17" customFormat="1" ht="13.5" hidden="1" customHeight="1"/>
    <row r="80" s="17" customFormat="1" ht="13.5" hidden="1" customHeight="1"/>
    <row r="81" spans="1:1" s="17" customFormat="1" ht="13.5" hidden="1" customHeight="1"/>
    <row r="82" spans="1:1" s="17" customFormat="1" ht="13.5" hidden="1" customHeight="1"/>
    <row r="83" spans="1:1" s="17" customFormat="1" ht="13.5" hidden="1" customHeight="1"/>
    <row r="84" spans="1:1" s="17" customFormat="1" ht="13.5" hidden="1" customHeight="1"/>
    <row r="85" spans="1:1" s="17" customFormat="1" ht="13.5" hidden="1" customHeight="1"/>
    <row r="86" spans="1:1" s="17" customFormat="1" ht="13.5" hidden="1" customHeight="1"/>
    <row r="87" spans="1:1" s="17" customFormat="1" ht="13.5" hidden="1" customHeight="1"/>
    <row r="88" spans="1:1" s="17" customFormat="1" ht="13.5" hidden="1" customHeight="1"/>
    <row r="89" spans="1:1" s="17" customFormat="1" ht="13.5" hidden="1" customHeight="1"/>
    <row r="90" spans="1:1" s="17" customFormat="1" ht="13.5" hidden="1" customHeight="1"/>
    <row r="91" spans="1:1" s="17" customFormat="1" ht="13.5" hidden="1" customHeight="1"/>
    <row r="92" spans="1:1" s="17" customFormat="1" ht="13.5" hidden="1" customHeight="1"/>
    <row r="93" spans="1:1" s="17" customFormat="1" ht="13.5" hidden="1" customHeight="1"/>
    <row r="94" spans="1:1" s="17" customFormat="1" ht="13.5" hidden="1" customHeight="1">
      <c r="A94" s="31"/>
    </row>
  </sheetData>
  <mergeCells count="16">
    <mergeCell ref="A31:A39"/>
    <mergeCell ref="K31:K35"/>
    <mergeCell ref="K36:K41"/>
    <mergeCell ref="A40:A47"/>
    <mergeCell ref="K42:K47"/>
    <mergeCell ref="A1:J1"/>
    <mergeCell ref="A2:J4"/>
    <mergeCell ref="K2:K8"/>
    <mergeCell ref="A6:A10"/>
    <mergeCell ref="K9:K18"/>
    <mergeCell ref="A11:A13"/>
    <mergeCell ref="A14:A19"/>
    <mergeCell ref="K19:K22"/>
    <mergeCell ref="A20:A30"/>
    <mergeCell ref="K23:K24"/>
    <mergeCell ref="K25:K30"/>
  </mergeCells>
  <phoneticPr fontId="2" type="noConversion"/>
  <pageMargins left="0.35" right="0.32" top="0.77" bottom="0.59" header="0.5" footer="0.5"/>
  <pageSetup paperSize="9" scale="9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9DF1-D954-4B62-A819-4EBD340BC642}">
  <dimension ref="B1:U44"/>
  <sheetViews>
    <sheetView showGridLines="0" zoomScale="85" zoomScaleNormal="85" workbookViewId="0">
      <selection activeCell="C5" sqref="C5"/>
    </sheetView>
  </sheetViews>
  <sheetFormatPr defaultRowHeight="16.5"/>
  <cols>
    <col min="2" max="2" width="16.375" customWidth="1"/>
    <col min="3" max="3" width="13.5" customWidth="1"/>
    <col min="4" max="4" width="16.125" bestFit="1" customWidth="1"/>
    <col min="5" max="6" width="15.875" bestFit="1" customWidth="1"/>
    <col min="7" max="8" width="7.75" bestFit="1" customWidth="1"/>
    <col min="9" max="9" width="19" customWidth="1"/>
    <col min="10" max="10" width="13.5" customWidth="1"/>
    <col min="11" max="11" width="14.375" bestFit="1" customWidth="1"/>
    <col min="12" max="12" width="13.5" customWidth="1"/>
    <col min="13" max="13" width="13.875" customWidth="1"/>
    <col min="14" max="14" width="13.5" customWidth="1"/>
    <col min="15" max="15" width="11.625" bestFit="1" customWidth="1"/>
    <col min="16" max="16" width="21.125" bestFit="1" customWidth="1"/>
    <col min="17" max="17" width="15" customWidth="1"/>
    <col min="18" max="18" width="16.875" bestFit="1" customWidth="1"/>
    <col min="19" max="21" width="15" bestFit="1" customWidth="1"/>
  </cols>
  <sheetData>
    <row r="1" spans="2:8" s="38" customFormat="1" ht="24.95" customHeight="1">
      <c r="B1" s="35" t="s">
        <v>905</v>
      </c>
      <c r="C1" s="35"/>
      <c r="D1" s="35"/>
      <c r="E1" s="36"/>
      <c r="F1" s="37"/>
      <c r="G1" s="37"/>
    </row>
    <row r="3" spans="2:8">
      <c r="B3" s="39" t="s">
        <v>798</v>
      </c>
      <c r="D3" s="39" t="s">
        <v>798</v>
      </c>
    </row>
    <row r="4" spans="2:8">
      <c r="B4" s="55" t="s">
        <v>799</v>
      </c>
      <c r="D4" s="40" t="s">
        <v>799</v>
      </c>
      <c r="H4" s="40"/>
    </row>
    <row r="5" spans="2:8">
      <c r="B5" s="55"/>
      <c r="D5" s="40" t="s">
        <v>800</v>
      </c>
    </row>
    <row r="6" spans="2:8">
      <c r="B6" s="55"/>
      <c r="D6" s="40" t="s">
        <v>801</v>
      </c>
    </row>
    <row r="7" spans="2:8">
      <c r="B7" s="55"/>
      <c r="D7" s="40" t="s">
        <v>802</v>
      </c>
    </row>
    <row r="8" spans="2:8">
      <c r="B8" s="55"/>
      <c r="D8" s="40" t="s">
        <v>803</v>
      </c>
    </row>
    <row r="9" spans="2:8">
      <c r="B9" s="55"/>
      <c r="D9" s="40" t="s">
        <v>804</v>
      </c>
    </row>
    <row r="10" spans="2:8">
      <c r="B10" s="55"/>
      <c r="D10" s="40" t="s">
        <v>805</v>
      </c>
    </row>
    <row r="11" spans="2:8">
      <c r="B11" s="55"/>
      <c r="D11" s="40" t="s">
        <v>806</v>
      </c>
    </row>
    <row r="12" spans="2:8">
      <c r="B12" s="55"/>
      <c r="D12" s="40" t="s">
        <v>807</v>
      </c>
    </row>
    <row r="13" spans="2:8">
      <c r="B13" s="55"/>
      <c r="D13" s="40" t="s">
        <v>808</v>
      </c>
    </row>
    <row r="14" spans="2:8">
      <c r="B14" s="55"/>
      <c r="D14" s="40" t="s">
        <v>809</v>
      </c>
    </row>
    <row r="15" spans="2:8">
      <c r="B15" s="55"/>
      <c r="D15" s="40" t="s">
        <v>810</v>
      </c>
    </row>
    <row r="16" spans="2:8">
      <c r="B16" s="55"/>
      <c r="D16" s="40" t="s">
        <v>811</v>
      </c>
    </row>
    <row r="17" spans="2:21">
      <c r="B17" s="55"/>
      <c r="D17" s="40" t="s">
        <v>812</v>
      </c>
    </row>
    <row r="18" spans="2:21">
      <c r="B18" s="55"/>
      <c r="D18" s="40" t="s">
        <v>813</v>
      </c>
    </row>
    <row r="19" spans="2:21">
      <c r="B19" s="55"/>
      <c r="D19" s="40" t="s">
        <v>814</v>
      </c>
    </row>
    <row r="20" spans="2:21">
      <c r="B20" s="55"/>
      <c r="D20" s="40" t="s">
        <v>815</v>
      </c>
    </row>
    <row r="24" spans="2:21">
      <c r="B24" s="39" t="s">
        <v>816</v>
      </c>
      <c r="C24" s="39" t="s">
        <v>817</v>
      </c>
      <c r="D24" s="39" t="s">
        <v>817</v>
      </c>
      <c r="E24" s="39" t="s">
        <v>818</v>
      </c>
      <c r="F24" s="39" t="s">
        <v>818</v>
      </c>
      <c r="G24" s="39" t="s">
        <v>909</v>
      </c>
      <c r="H24" s="39" t="s">
        <v>910</v>
      </c>
      <c r="I24" s="39" t="s">
        <v>819</v>
      </c>
      <c r="J24" s="39" t="s">
        <v>820</v>
      </c>
      <c r="K24" s="39" t="s">
        <v>820</v>
      </c>
      <c r="L24" s="39" t="s">
        <v>821</v>
      </c>
      <c r="M24" s="39" t="s">
        <v>821</v>
      </c>
      <c r="N24" s="39" t="s">
        <v>906</v>
      </c>
      <c r="O24" s="39" t="s">
        <v>908</v>
      </c>
      <c r="P24" s="39" t="s">
        <v>911</v>
      </c>
      <c r="Q24" s="39" t="s">
        <v>911</v>
      </c>
      <c r="R24" s="39" t="s">
        <v>932</v>
      </c>
      <c r="S24" s="39" t="s">
        <v>932</v>
      </c>
      <c r="T24" s="39" t="s">
        <v>932</v>
      </c>
      <c r="U24" s="39" t="s">
        <v>932</v>
      </c>
    </row>
    <row r="25" spans="2:21">
      <c r="B25" s="41">
        <v>1</v>
      </c>
      <c r="C25" s="42" t="s">
        <v>822</v>
      </c>
      <c r="D25" s="43" t="s">
        <v>901</v>
      </c>
      <c r="E25" s="44" t="s">
        <v>823</v>
      </c>
      <c r="F25" s="45" t="s">
        <v>902</v>
      </c>
      <c r="G25" s="46" t="s">
        <v>824</v>
      </c>
      <c r="H25" s="47" t="s">
        <v>825</v>
      </c>
      <c r="I25" s="53" t="s">
        <v>903</v>
      </c>
      <c r="J25" s="48">
        <v>1012345678</v>
      </c>
      <c r="K25" s="54" t="s">
        <v>904</v>
      </c>
      <c r="L25" s="49">
        <v>20240101</v>
      </c>
      <c r="M25" s="50">
        <v>45292</v>
      </c>
      <c r="N25" s="49">
        <v>2105</v>
      </c>
      <c r="O25" s="50" t="s">
        <v>907</v>
      </c>
      <c r="P25" s="58" t="s">
        <v>912</v>
      </c>
      <c r="Q25" s="50" t="s">
        <v>931</v>
      </c>
      <c r="R25" s="47" t="s">
        <v>933</v>
      </c>
      <c r="S25" s="56" t="s">
        <v>963</v>
      </c>
      <c r="T25" s="57">
        <v>1012345678</v>
      </c>
      <c r="U25" s="56" t="s">
        <v>904</v>
      </c>
    </row>
    <row r="26" spans="2:21">
      <c r="B26" s="41">
        <v>2</v>
      </c>
      <c r="C26" s="42" t="s">
        <v>826</v>
      </c>
      <c r="D26" s="43"/>
      <c r="E26" s="44" t="s">
        <v>827</v>
      </c>
      <c r="F26" s="45"/>
      <c r="G26" s="46" t="s">
        <v>828</v>
      </c>
      <c r="H26" s="47" t="s">
        <v>829</v>
      </c>
      <c r="I26" s="53"/>
      <c r="J26" s="48">
        <v>1055559495</v>
      </c>
      <c r="K26" s="54"/>
      <c r="L26" s="49">
        <v>20200305</v>
      </c>
      <c r="M26" s="50"/>
      <c r="N26" s="49">
        <v>1904</v>
      </c>
      <c r="O26" s="50"/>
      <c r="P26" s="58" t="s">
        <v>913</v>
      </c>
      <c r="Q26" s="50"/>
      <c r="R26" s="47" t="s">
        <v>934</v>
      </c>
      <c r="S26" s="56"/>
      <c r="T26" s="57">
        <v>1047031026</v>
      </c>
      <c r="U26" s="56"/>
    </row>
    <row r="27" spans="2:21">
      <c r="B27" s="41">
        <v>3</v>
      </c>
      <c r="C27" s="42" t="s">
        <v>830</v>
      </c>
      <c r="D27" s="43"/>
      <c r="E27" s="44" t="s">
        <v>831</v>
      </c>
      <c r="F27" s="45"/>
      <c r="G27" s="46" t="s">
        <v>832</v>
      </c>
      <c r="H27" s="47" t="s">
        <v>833</v>
      </c>
      <c r="I27" s="53"/>
      <c r="J27" s="48">
        <v>1076761234</v>
      </c>
      <c r="K27" s="54"/>
      <c r="L27" s="49">
        <v>20200504</v>
      </c>
      <c r="M27" s="50"/>
      <c r="N27" s="49">
        <v>1101</v>
      </c>
      <c r="O27" s="50"/>
      <c r="P27" s="58" t="s">
        <v>914</v>
      </c>
      <c r="Q27" s="50"/>
      <c r="R27" s="47" t="s">
        <v>935</v>
      </c>
      <c r="S27" s="56"/>
      <c r="T27" s="57" t="s">
        <v>951</v>
      </c>
      <c r="U27" s="56"/>
    </row>
    <row r="28" spans="2:21">
      <c r="B28" s="41">
        <v>4</v>
      </c>
      <c r="C28" s="42" t="s">
        <v>834</v>
      </c>
      <c r="D28" s="43"/>
      <c r="E28" s="44" t="s">
        <v>835</v>
      </c>
      <c r="F28" s="45"/>
      <c r="G28" s="46" t="s">
        <v>836</v>
      </c>
      <c r="H28" s="47" t="s">
        <v>837</v>
      </c>
      <c r="I28" s="53"/>
      <c r="J28" s="48">
        <v>1077779999</v>
      </c>
      <c r="K28" s="54"/>
      <c r="L28" s="49">
        <v>20200810</v>
      </c>
      <c r="M28" s="50"/>
      <c r="N28" s="49">
        <v>506</v>
      </c>
      <c r="O28" s="50"/>
      <c r="P28" s="58" t="s">
        <v>915</v>
      </c>
      <c r="Q28" s="50"/>
      <c r="R28" s="47" t="s">
        <v>936</v>
      </c>
      <c r="S28" s="56"/>
      <c r="T28" s="57">
        <v>1025578978</v>
      </c>
      <c r="U28" s="56"/>
    </row>
    <row r="29" spans="2:21">
      <c r="B29" s="41">
        <v>5</v>
      </c>
      <c r="C29" s="42" t="s">
        <v>838</v>
      </c>
      <c r="D29" s="43"/>
      <c r="E29" s="44" t="s">
        <v>839</v>
      </c>
      <c r="F29" s="45"/>
      <c r="G29" s="46" t="s">
        <v>840</v>
      </c>
      <c r="H29" s="47" t="s">
        <v>841</v>
      </c>
      <c r="I29" s="53"/>
      <c r="J29" s="48">
        <v>1090971234</v>
      </c>
      <c r="K29" s="54"/>
      <c r="L29" s="49">
        <v>20230915</v>
      </c>
      <c r="M29" s="50"/>
      <c r="N29" s="49">
        <v>1704</v>
      </c>
      <c r="O29" s="50"/>
      <c r="P29" s="58" t="s">
        <v>916</v>
      </c>
      <c r="Q29" s="50"/>
      <c r="R29" s="47" t="s">
        <v>937</v>
      </c>
      <c r="S29" s="56"/>
      <c r="T29" s="57" t="s">
        <v>952</v>
      </c>
      <c r="U29" s="56"/>
    </row>
    <row r="30" spans="2:21">
      <c r="B30" s="41">
        <v>6</v>
      </c>
      <c r="C30" s="42" t="s">
        <v>842</v>
      </c>
      <c r="D30" s="43"/>
      <c r="E30" s="44" t="s">
        <v>843</v>
      </c>
      <c r="F30" s="45"/>
      <c r="G30" s="46" t="s">
        <v>832</v>
      </c>
      <c r="H30" s="47" t="s">
        <v>844</v>
      </c>
      <c r="I30" s="53"/>
      <c r="J30" s="48">
        <v>1099995678</v>
      </c>
      <c r="K30" s="54"/>
      <c r="L30" s="49">
        <v>20200701</v>
      </c>
      <c r="M30" s="50"/>
      <c r="N30" s="49">
        <v>1404</v>
      </c>
      <c r="O30" s="50"/>
      <c r="P30" s="58" t="s">
        <v>917</v>
      </c>
      <c r="Q30" s="50"/>
      <c r="R30" s="47" t="s">
        <v>938</v>
      </c>
      <c r="S30" s="56"/>
      <c r="T30" s="57">
        <v>1059703469</v>
      </c>
      <c r="U30" s="56"/>
    </row>
    <row r="31" spans="2:21">
      <c r="B31" s="41">
        <v>7</v>
      </c>
      <c r="C31" s="42" t="s">
        <v>845</v>
      </c>
      <c r="D31" s="43"/>
      <c r="E31" s="44" t="s">
        <v>846</v>
      </c>
      <c r="F31" s="45"/>
      <c r="G31" s="46" t="s">
        <v>847</v>
      </c>
      <c r="H31" s="47" t="s">
        <v>848</v>
      </c>
      <c r="I31" s="53"/>
      <c r="J31" s="48">
        <v>1032587777</v>
      </c>
      <c r="K31" s="54"/>
      <c r="L31" s="49">
        <v>20190126</v>
      </c>
      <c r="M31" s="50"/>
      <c r="N31" s="49">
        <v>2401</v>
      </c>
      <c r="O31" s="50"/>
      <c r="P31" s="58" t="s">
        <v>918</v>
      </c>
      <c r="Q31" s="50"/>
      <c r="R31" s="47" t="s">
        <v>938</v>
      </c>
      <c r="S31" s="56"/>
      <c r="T31" s="57" t="s">
        <v>953</v>
      </c>
      <c r="U31" s="56"/>
    </row>
    <row r="32" spans="2:21">
      <c r="B32" s="41">
        <v>8</v>
      </c>
      <c r="C32" s="42" t="s">
        <v>849</v>
      </c>
      <c r="D32" s="43"/>
      <c r="E32" s="44" t="s">
        <v>850</v>
      </c>
      <c r="F32" s="45"/>
      <c r="G32" s="46" t="s">
        <v>851</v>
      </c>
      <c r="H32" s="47" t="s">
        <v>852</v>
      </c>
      <c r="I32" s="53"/>
      <c r="J32" s="48">
        <v>1089899876</v>
      </c>
      <c r="K32" s="54"/>
      <c r="L32" s="49">
        <v>20200905</v>
      </c>
      <c r="M32" s="50"/>
      <c r="N32" s="49">
        <v>702</v>
      </c>
      <c r="O32" s="50"/>
      <c r="P32" s="58" t="s">
        <v>919</v>
      </c>
      <c r="Q32" s="50"/>
      <c r="R32" s="47" t="s">
        <v>939</v>
      </c>
      <c r="S32" s="56"/>
      <c r="T32" s="57">
        <v>1074331234</v>
      </c>
      <c r="U32" s="56"/>
    </row>
    <row r="33" spans="2:21">
      <c r="B33" s="41">
        <v>9</v>
      </c>
      <c r="C33" s="42" t="s">
        <v>853</v>
      </c>
      <c r="D33" s="43"/>
      <c r="E33" s="44" t="s">
        <v>854</v>
      </c>
      <c r="F33" s="45"/>
      <c r="G33" s="46" t="s">
        <v>855</v>
      </c>
      <c r="H33" s="47" t="s">
        <v>856</v>
      </c>
      <c r="I33" s="53"/>
      <c r="J33" s="48">
        <v>1065434321</v>
      </c>
      <c r="K33" s="54"/>
      <c r="L33" s="49">
        <v>20200807</v>
      </c>
      <c r="M33" s="50"/>
      <c r="N33" s="49">
        <v>1306</v>
      </c>
      <c r="O33" s="50"/>
      <c r="P33" s="58" t="s">
        <v>920</v>
      </c>
      <c r="Q33" s="50"/>
      <c r="R33" s="47" t="s">
        <v>940</v>
      </c>
      <c r="S33" s="56"/>
      <c r="T33" s="57" t="s">
        <v>954</v>
      </c>
      <c r="U33" s="56"/>
    </row>
    <row r="34" spans="2:21">
      <c r="B34" s="41">
        <v>10</v>
      </c>
      <c r="C34" s="42" t="s">
        <v>857</v>
      </c>
      <c r="D34" s="43"/>
      <c r="E34" s="44" t="s">
        <v>858</v>
      </c>
      <c r="F34" s="45"/>
      <c r="G34" s="46" t="s">
        <v>859</v>
      </c>
      <c r="H34" s="47" t="s">
        <v>860</v>
      </c>
      <c r="I34" s="53"/>
      <c r="J34" s="48">
        <v>1012349876</v>
      </c>
      <c r="K34" s="54"/>
      <c r="L34" s="49">
        <v>20200301</v>
      </c>
      <c r="M34" s="50"/>
      <c r="N34" s="49">
        <v>1103</v>
      </c>
      <c r="O34" s="50"/>
      <c r="P34" s="58" t="s">
        <v>921</v>
      </c>
      <c r="Q34" s="50"/>
      <c r="R34" s="47" t="s">
        <v>941</v>
      </c>
      <c r="S34" s="56"/>
      <c r="T34" s="57">
        <v>1056875678</v>
      </c>
      <c r="U34" s="56"/>
    </row>
    <row r="35" spans="2:21">
      <c r="B35" s="41">
        <v>11</v>
      </c>
      <c r="C35" s="42" t="s">
        <v>861</v>
      </c>
      <c r="D35" s="43"/>
      <c r="E35" s="44" t="s">
        <v>862</v>
      </c>
      <c r="F35" s="45"/>
      <c r="G35" s="46" t="s">
        <v>863</v>
      </c>
      <c r="H35" s="47" t="s">
        <v>864</v>
      </c>
      <c r="I35" s="53"/>
      <c r="J35" s="48">
        <v>1012347679</v>
      </c>
      <c r="K35" s="54"/>
      <c r="L35" s="49">
        <v>20201113</v>
      </c>
      <c r="M35" s="50"/>
      <c r="N35" s="49">
        <v>1802</v>
      </c>
      <c r="O35" s="50"/>
      <c r="P35" s="58" t="s">
        <v>922</v>
      </c>
      <c r="Q35" s="50"/>
      <c r="R35" s="47" t="s">
        <v>941</v>
      </c>
      <c r="S35" s="56"/>
      <c r="T35" s="57">
        <v>1036766555</v>
      </c>
      <c r="U35" s="56"/>
    </row>
    <row r="36" spans="2:21">
      <c r="B36" s="41">
        <v>12</v>
      </c>
      <c r="C36" s="42" t="s">
        <v>865</v>
      </c>
      <c r="D36" s="43"/>
      <c r="E36" s="44" t="s">
        <v>866</v>
      </c>
      <c r="F36" s="45"/>
      <c r="G36" s="46" t="s">
        <v>867</v>
      </c>
      <c r="H36" s="47" t="s">
        <v>868</v>
      </c>
      <c r="I36" s="53"/>
      <c r="J36" s="48">
        <v>1014563456</v>
      </c>
      <c r="K36" s="54"/>
      <c r="L36" s="49">
        <v>20200115</v>
      </c>
      <c r="M36" s="50"/>
      <c r="N36" s="49">
        <v>3202</v>
      </c>
      <c r="O36" s="50"/>
      <c r="P36" s="58" t="s">
        <v>923</v>
      </c>
      <c r="Q36" s="50"/>
      <c r="R36" s="47" t="s">
        <v>942</v>
      </c>
      <c r="S36" s="56"/>
      <c r="T36" s="57">
        <v>1076318729</v>
      </c>
      <c r="U36" s="56"/>
    </row>
    <row r="37" spans="2:21">
      <c r="B37" s="41">
        <v>13</v>
      </c>
      <c r="C37" s="42" t="s">
        <v>869</v>
      </c>
      <c r="D37" s="43"/>
      <c r="E37" s="44" t="s">
        <v>870</v>
      </c>
      <c r="F37" s="45"/>
      <c r="G37" s="46" t="s">
        <v>871</v>
      </c>
      <c r="H37" s="46" t="s">
        <v>872</v>
      </c>
      <c r="I37" s="53"/>
      <c r="J37" s="48">
        <v>1012349876</v>
      </c>
      <c r="K37" s="54"/>
      <c r="L37" s="49">
        <v>20200101</v>
      </c>
      <c r="M37" s="50"/>
      <c r="N37" s="49">
        <v>1703</v>
      </c>
      <c r="O37" s="50"/>
      <c r="P37" s="58" t="s">
        <v>924</v>
      </c>
      <c r="Q37" s="50"/>
      <c r="R37" s="47" t="s">
        <v>943</v>
      </c>
      <c r="S37" s="56"/>
      <c r="T37" s="57">
        <v>1094122643</v>
      </c>
      <c r="U37" s="56"/>
    </row>
    <row r="38" spans="2:21">
      <c r="B38" s="41">
        <v>14</v>
      </c>
      <c r="C38" s="42" t="s">
        <v>873</v>
      </c>
      <c r="D38" s="43"/>
      <c r="E38" s="44" t="s">
        <v>874</v>
      </c>
      <c r="F38" s="45"/>
      <c r="G38" s="46" t="s">
        <v>875</v>
      </c>
      <c r="H38" s="46" t="s">
        <v>876</v>
      </c>
      <c r="I38" s="53"/>
      <c r="J38" s="48">
        <v>1012349876</v>
      </c>
      <c r="K38" s="54"/>
      <c r="L38" s="49">
        <v>20191216</v>
      </c>
      <c r="M38" s="50"/>
      <c r="N38" s="49">
        <v>602</v>
      </c>
      <c r="O38" s="50"/>
      <c r="P38" s="58" t="s">
        <v>925</v>
      </c>
      <c r="Q38" s="50"/>
      <c r="R38" s="47" t="s">
        <v>944</v>
      </c>
      <c r="S38" s="56"/>
      <c r="T38" s="57" t="s">
        <v>955</v>
      </c>
      <c r="U38" s="56"/>
    </row>
    <row r="39" spans="2:21">
      <c r="B39" s="41">
        <v>15</v>
      </c>
      <c r="C39" s="42" t="s">
        <v>877</v>
      </c>
      <c r="D39" s="43"/>
      <c r="E39" s="44" t="s">
        <v>878</v>
      </c>
      <c r="F39" s="45"/>
      <c r="G39" s="46" t="s">
        <v>879</v>
      </c>
      <c r="H39" s="46" t="s">
        <v>880</v>
      </c>
      <c r="I39" s="53"/>
      <c r="J39" s="48">
        <v>1089899876</v>
      </c>
      <c r="K39" s="54"/>
      <c r="L39" s="49">
        <v>20191028</v>
      </c>
      <c r="M39" s="50"/>
      <c r="N39" s="49">
        <v>702</v>
      </c>
      <c r="O39" s="50"/>
      <c r="P39" s="58" t="s">
        <v>926</v>
      </c>
      <c r="Q39" s="50"/>
      <c r="R39" s="47" t="s">
        <v>945</v>
      </c>
      <c r="S39" s="56"/>
      <c r="T39" s="57" t="s">
        <v>956</v>
      </c>
      <c r="U39" s="56"/>
    </row>
    <row r="40" spans="2:21">
      <c r="B40" s="41">
        <v>16</v>
      </c>
      <c r="C40" s="42" t="s">
        <v>881</v>
      </c>
      <c r="D40" s="43"/>
      <c r="E40" s="51" t="s">
        <v>882</v>
      </c>
      <c r="F40" s="45"/>
      <c r="G40" s="46" t="s">
        <v>883</v>
      </c>
      <c r="H40" s="46" t="s">
        <v>884</v>
      </c>
      <c r="I40" s="53"/>
      <c r="J40" s="48">
        <v>1076761234</v>
      </c>
      <c r="K40" s="54"/>
      <c r="L40" s="49">
        <v>20190716</v>
      </c>
      <c r="M40" s="50"/>
      <c r="N40" s="49">
        <v>1102</v>
      </c>
      <c r="O40" s="50"/>
      <c r="P40" s="58" t="s">
        <v>927</v>
      </c>
      <c r="Q40" s="50"/>
      <c r="R40" s="56" t="s">
        <v>946</v>
      </c>
      <c r="S40" s="56"/>
      <c r="T40" s="57" t="s">
        <v>957</v>
      </c>
      <c r="U40" s="56"/>
    </row>
    <row r="41" spans="2:21">
      <c r="B41" s="41">
        <v>17</v>
      </c>
      <c r="C41" s="42" t="s">
        <v>885</v>
      </c>
      <c r="D41" s="43"/>
      <c r="E41" s="44" t="s">
        <v>886</v>
      </c>
      <c r="F41" s="45"/>
      <c r="G41" s="46" t="s">
        <v>887</v>
      </c>
      <c r="H41" s="46" t="s">
        <v>888</v>
      </c>
      <c r="I41" s="53"/>
      <c r="J41" s="48">
        <v>1045679876</v>
      </c>
      <c r="K41" s="54"/>
      <c r="L41" s="49">
        <v>20190110</v>
      </c>
      <c r="M41" s="50"/>
      <c r="N41" s="49">
        <v>405</v>
      </c>
      <c r="O41" s="50"/>
      <c r="P41" s="58" t="s">
        <v>928</v>
      </c>
      <c r="Q41" s="50"/>
      <c r="R41" s="47" t="s">
        <v>947</v>
      </c>
      <c r="S41" s="56"/>
      <c r="T41" s="57" t="s">
        <v>958</v>
      </c>
      <c r="U41" s="56"/>
    </row>
    <row r="42" spans="2:21">
      <c r="B42" s="41">
        <v>18</v>
      </c>
      <c r="C42" s="42" t="s">
        <v>889</v>
      </c>
      <c r="D42" s="43"/>
      <c r="E42" s="44" t="s">
        <v>890</v>
      </c>
      <c r="F42" s="45"/>
      <c r="G42" s="46" t="s">
        <v>891</v>
      </c>
      <c r="H42" s="46" t="s">
        <v>892</v>
      </c>
      <c r="I42" s="53"/>
      <c r="J42" s="48">
        <v>1022458579</v>
      </c>
      <c r="K42" s="54"/>
      <c r="L42" s="49">
        <v>20230816</v>
      </c>
      <c r="M42" s="50"/>
      <c r="N42" s="49">
        <v>222</v>
      </c>
      <c r="O42" s="50"/>
      <c r="P42" s="58" t="s">
        <v>919</v>
      </c>
      <c r="Q42" s="50"/>
      <c r="R42" s="47" t="s">
        <v>948</v>
      </c>
      <c r="S42" s="56"/>
      <c r="T42" s="57" t="s">
        <v>959</v>
      </c>
      <c r="U42" s="56"/>
    </row>
    <row r="43" spans="2:21">
      <c r="B43" s="41">
        <v>19</v>
      </c>
      <c r="C43" s="42" t="s">
        <v>893</v>
      </c>
      <c r="D43" s="43"/>
      <c r="E43" s="44" t="s">
        <v>894</v>
      </c>
      <c r="F43" s="45"/>
      <c r="G43" s="46" t="s">
        <v>895</v>
      </c>
      <c r="H43" s="46" t="s">
        <v>896</v>
      </c>
      <c r="I43" s="53"/>
      <c r="J43" s="48">
        <v>1014563456</v>
      </c>
      <c r="K43" s="54"/>
      <c r="L43" s="49">
        <v>20230801</v>
      </c>
      <c r="M43" s="50"/>
      <c r="N43" s="49">
        <v>214</v>
      </c>
      <c r="O43" s="50"/>
      <c r="P43" s="58" t="s">
        <v>929</v>
      </c>
      <c r="Q43" s="50"/>
      <c r="R43" s="56" t="s">
        <v>949</v>
      </c>
      <c r="S43" s="56"/>
      <c r="T43" s="57" t="s">
        <v>960</v>
      </c>
      <c r="U43" s="56"/>
    </row>
    <row r="44" spans="2:21">
      <c r="B44" s="41">
        <v>20</v>
      </c>
      <c r="C44" s="42" t="s">
        <v>897</v>
      </c>
      <c r="D44" s="43"/>
      <c r="E44" s="44" t="s">
        <v>898</v>
      </c>
      <c r="F44" s="45"/>
      <c r="G44" s="46" t="s">
        <v>899</v>
      </c>
      <c r="H44" s="46" t="s">
        <v>900</v>
      </c>
      <c r="I44" s="53"/>
      <c r="J44" s="48">
        <v>1045679876</v>
      </c>
      <c r="K44" s="54"/>
      <c r="L44" s="49">
        <v>20230723</v>
      </c>
      <c r="M44" s="50"/>
      <c r="N44" s="49">
        <v>514</v>
      </c>
      <c r="O44" s="50"/>
      <c r="P44" s="58" t="s">
        <v>930</v>
      </c>
      <c r="Q44" s="50"/>
      <c r="R44" s="47" t="s">
        <v>950</v>
      </c>
      <c r="S44" s="56"/>
      <c r="T44" s="57" t="s">
        <v>961</v>
      </c>
      <c r="U44" s="56"/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E750-9E73-4047-9304-E08CA1283FFE}">
  <dimension ref="B1:H22"/>
  <sheetViews>
    <sheetView showGridLines="0" zoomScale="85" zoomScaleNormal="85" workbookViewId="0">
      <selection activeCell="G28" sqref="G28"/>
    </sheetView>
  </sheetViews>
  <sheetFormatPr defaultRowHeight="16.5"/>
  <cols>
    <col min="2" max="7" width="13.5" customWidth="1"/>
    <col min="8" max="9" width="7.75" bestFit="1" customWidth="1"/>
  </cols>
  <sheetData>
    <row r="1" spans="2:8" s="38" customFormat="1" ht="24.95" customHeight="1">
      <c r="B1" s="35" t="s">
        <v>982</v>
      </c>
      <c r="C1" s="35"/>
      <c r="D1" s="35"/>
      <c r="E1" s="35"/>
      <c r="F1" s="36"/>
      <c r="G1" s="37"/>
      <c r="H1" s="37"/>
    </row>
    <row r="3" spans="2:8">
      <c r="B3" s="39" t="s">
        <v>816</v>
      </c>
      <c r="C3" s="39" t="s">
        <v>968</v>
      </c>
      <c r="D3" s="39" t="s">
        <v>969</v>
      </c>
      <c r="E3" s="39" t="s">
        <v>970</v>
      </c>
      <c r="F3" s="39" t="s">
        <v>971</v>
      </c>
      <c r="G3" s="39" t="s">
        <v>972</v>
      </c>
    </row>
    <row r="4" spans="2:8">
      <c r="B4" s="59">
        <v>1</v>
      </c>
      <c r="C4" s="60"/>
      <c r="D4" s="59" t="s">
        <v>973</v>
      </c>
      <c r="E4" s="61"/>
      <c r="F4" s="61"/>
      <c r="G4" s="61"/>
    </row>
    <row r="5" spans="2:8">
      <c r="B5" s="59">
        <v>2</v>
      </c>
      <c r="C5" s="60"/>
      <c r="D5" s="59"/>
      <c r="E5" s="61"/>
      <c r="F5" s="61" t="s">
        <v>976</v>
      </c>
      <c r="G5" s="61"/>
    </row>
    <row r="6" spans="2:8">
      <c r="B6" s="59">
        <v>3</v>
      </c>
      <c r="C6" s="59" t="s">
        <v>974</v>
      </c>
      <c r="D6" s="59"/>
      <c r="E6" s="61" t="s">
        <v>975</v>
      </c>
      <c r="F6" s="61"/>
      <c r="G6" s="61"/>
    </row>
    <row r="7" spans="2:8">
      <c r="B7" s="59">
        <v>4</v>
      </c>
      <c r="C7" s="60"/>
      <c r="D7" s="59"/>
      <c r="E7" s="61"/>
      <c r="F7" s="61"/>
      <c r="G7" s="61" t="s">
        <v>977</v>
      </c>
    </row>
    <row r="8" spans="2:8">
      <c r="B8" s="59">
        <v>5</v>
      </c>
      <c r="C8" s="60"/>
      <c r="D8" s="59"/>
      <c r="E8" s="61"/>
      <c r="F8" s="61"/>
      <c r="G8" s="61"/>
    </row>
    <row r="10" spans="2:8">
      <c r="B10" s="39" t="s">
        <v>816</v>
      </c>
      <c r="C10" s="39" t="s">
        <v>968</v>
      </c>
      <c r="D10" s="39" t="s">
        <v>969</v>
      </c>
      <c r="E10" s="39" t="s">
        <v>970</v>
      </c>
      <c r="F10" s="39" t="s">
        <v>971</v>
      </c>
      <c r="G10" s="39" t="s">
        <v>972</v>
      </c>
    </row>
    <row r="11" spans="2:8">
      <c r="B11" s="59">
        <v>1</v>
      </c>
      <c r="C11" s="60"/>
      <c r="D11" s="59"/>
      <c r="E11" s="61"/>
      <c r="F11" s="61"/>
      <c r="G11" s="61"/>
    </row>
    <row r="12" spans="2:8">
      <c r="B12" s="59">
        <v>2</v>
      </c>
      <c r="C12" s="60" t="s">
        <v>979</v>
      </c>
      <c r="D12" s="59"/>
      <c r="E12" s="61"/>
      <c r="F12" s="61"/>
      <c r="G12" s="61"/>
    </row>
    <row r="13" spans="2:8">
      <c r="B13" s="59">
        <v>3</v>
      </c>
      <c r="C13" s="59"/>
      <c r="D13" s="59"/>
      <c r="E13" s="61"/>
      <c r="F13" s="61"/>
      <c r="G13" s="61"/>
    </row>
    <row r="14" spans="2:8">
      <c r="B14" s="59">
        <v>4</v>
      </c>
      <c r="C14" s="60"/>
      <c r="D14" s="59"/>
      <c r="E14" s="61" t="s">
        <v>980</v>
      </c>
      <c r="F14" s="61" t="s">
        <v>980</v>
      </c>
      <c r="G14" s="61"/>
    </row>
    <row r="15" spans="2:8">
      <c r="B15" s="59">
        <v>5</v>
      </c>
      <c r="C15" s="60"/>
      <c r="D15" s="59"/>
      <c r="E15" s="61"/>
      <c r="F15" s="61"/>
      <c r="G15" s="61" t="s">
        <v>981</v>
      </c>
    </row>
    <row r="17" spans="2:7">
      <c r="B17" s="39" t="s">
        <v>816</v>
      </c>
      <c r="C17" s="39" t="s">
        <v>968</v>
      </c>
      <c r="D17" s="39" t="s">
        <v>969</v>
      </c>
      <c r="E17" s="39" t="s">
        <v>970</v>
      </c>
      <c r="F17" s="39" t="s">
        <v>971</v>
      </c>
      <c r="G17" s="39" t="s">
        <v>972</v>
      </c>
    </row>
    <row r="18" spans="2:7">
      <c r="B18" s="59">
        <v>1</v>
      </c>
      <c r="C18" s="62"/>
      <c r="D18" s="63" t="s">
        <v>1225</v>
      </c>
      <c r="E18" s="64"/>
      <c r="F18" s="64"/>
      <c r="G18" s="64"/>
    </row>
    <row r="19" spans="2:7">
      <c r="B19" s="59">
        <v>2</v>
      </c>
      <c r="C19" s="62" t="s">
        <v>979</v>
      </c>
      <c r="D19" s="63"/>
      <c r="E19" s="64"/>
      <c r="F19" s="64" t="s">
        <v>1226</v>
      </c>
      <c r="G19" s="64"/>
    </row>
    <row r="20" spans="2:7">
      <c r="B20" s="59">
        <v>3</v>
      </c>
      <c r="C20" s="63" t="s">
        <v>1227</v>
      </c>
      <c r="D20" s="63"/>
      <c r="E20" s="64" t="s">
        <v>1228</v>
      </c>
      <c r="F20" s="64"/>
      <c r="G20" s="64"/>
    </row>
    <row r="21" spans="2:7">
      <c r="B21" s="59">
        <v>4</v>
      </c>
      <c r="C21" s="62"/>
      <c r="D21" s="63"/>
      <c r="E21" s="64" t="s">
        <v>980</v>
      </c>
      <c r="F21" s="64" t="s">
        <v>980</v>
      </c>
      <c r="G21" s="64" t="s">
        <v>1229</v>
      </c>
    </row>
    <row r="22" spans="2:7">
      <c r="B22" s="59">
        <v>5</v>
      </c>
      <c r="C22" s="62"/>
      <c r="D22" s="63"/>
      <c r="E22" s="64"/>
      <c r="F22" s="64"/>
      <c r="G22" s="64" t="s">
        <v>981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F6D6-8545-41C9-BA41-6E2CB97C7803}">
  <dimension ref="B1:C8"/>
  <sheetViews>
    <sheetView showGridLines="0" zoomScale="85" zoomScaleNormal="85" workbookViewId="0">
      <selection activeCell="D23" sqref="D23"/>
    </sheetView>
  </sheetViews>
  <sheetFormatPr defaultRowHeight="16.5"/>
  <cols>
    <col min="2" max="2" width="13.5" customWidth="1"/>
    <col min="3" max="4" width="7.75" bestFit="1" customWidth="1"/>
  </cols>
  <sheetData>
    <row r="1" spans="2:3" s="38" customFormat="1" ht="24.95" customHeight="1">
      <c r="B1" s="35" t="s">
        <v>983</v>
      </c>
      <c r="C1" s="37"/>
    </row>
    <row r="3" spans="2:3">
      <c r="B3" s="39" t="s">
        <v>816</v>
      </c>
    </row>
    <row r="4" spans="2:3">
      <c r="B4" s="59">
        <v>1</v>
      </c>
    </row>
    <row r="5" spans="2:3" hidden="1">
      <c r="B5" s="59">
        <v>2</v>
      </c>
    </row>
    <row r="6" spans="2:3" hidden="1">
      <c r="B6" s="59">
        <v>3</v>
      </c>
    </row>
    <row r="7" spans="2:3">
      <c r="B7" s="59">
        <v>4</v>
      </c>
    </row>
    <row r="8" spans="2:3">
      <c r="B8" s="59">
        <v>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4A56-3B8D-43A5-B974-10325C36A51E}">
  <dimension ref="B1:H10"/>
  <sheetViews>
    <sheetView showGridLines="0" zoomScale="85" zoomScaleNormal="85" workbookViewId="0">
      <selection activeCell="P20" sqref="P20"/>
    </sheetView>
  </sheetViews>
  <sheetFormatPr defaultRowHeight="16.5"/>
  <cols>
    <col min="2" max="2" width="13.5" customWidth="1"/>
    <col min="3" max="8" width="9.125" bestFit="1" customWidth="1"/>
  </cols>
  <sheetData>
    <row r="1" spans="2:8" s="38" customFormat="1" ht="24.95" customHeight="1">
      <c r="B1" s="35" t="s">
        <v>984</v>
      </c>
      <c r="C1" s="37"/>
    </row>
    <row r="3" spans="2:8">
      <c r="B3" s="39" t="s">
        <v>985</v>
      </c>
      <c r="C3" s="39" t="s">
        <v>993</v>
      </c>
      <c r="D3" s="39" t="s">
        <v>994</v>
      </c>
      <c r="E3" s="39" t="s">
        <v>995</v>
      </c>
      <c r="F3" s="39" t="s">
        <v>996</v>
      </c>
      <c r="G3" s="39" t="s">
        <v>997</v>
      </c>
      <c r="H3" s="39" t="s">
        <v>998</v>
      </c>
    </row>
    <row r="4" spans="2:8">
      <c r="B4" s="59" t="s">
        <v>986</v>
      </c>
      <c r="C4" s="59">
        <v>8530</v>
      </c>
      <c r="D4" s="59">
        <v>16410</v>
      </c>
      <c r="E4" s="59">
        <v>12570</v>
      </c>
      <c r="F4" s="59">
        <v>6920</v>
      </c>
      <c r="G4" s="59">
        <v>12790</v>
      </c>
      <c r="H4" s="59">
        <v>7030</v>
      </c>
    </row>
    <row r="5" spans="2:8">
      <c r="B5" s="59" t="s">
        <v>987</v>
      </c>
      <c r="C5" s="59">
        <v>4070</v>
      </c>
      <c r="D5" s="59">
        <v>6310</v>
      </c>
      <c r="E5" s="59">
        <v>2400</v>
      </c>
      <c r="F5" s="59">
        <v>10390</v>
      </c>
      <c r="G5" s="59">
        <v>12260</v>
      </c>
      <c r="H5" s="59">
        <v>2970</v>
      </c>
    </row>
    <row r="6" spans="2:8">
      <c r="B6" s="59" t="s">
        <v>988</v>
      </c>
      <c r="C6" s="59">
        <v>6930</v>
      </c>
      <c r="D6" s="59">
        <v>7780</v>
      </c>
      <c r="E6" s="59">
        <v>5590</v>
      </c>
      <c r="F6" s="59">
        <v>6380</v>
      </c>
      <c r="G6" s="59">
        <v>11520</v>
      </c>
      <c r="H6" s="59">
        <v>19320</v>
      </c>
    </row>
    <row r="7" spans="2:8">
      <c r="B7" s="59" t="s">
        <v>989</v>
      </c>
      <c r="C7" s="59">
        <v>16140</v>
      </c>
      <c r="D7" s="59">
        <v>6550</v>
      </c>
      <c r="E7" s="59">
        <v>7540</v>
      </c>
      <c r="F7" s="59">
        <v>10380</v>
      </c>
      <c r="G7" s="59">
        <v>9700</v>
      </c>
      <c r="H7" s="59">
        <v>2000</v>
      </c>
    </row>
    <row r="8" spans="2:8">
      <c r="B8" s="59" t="s">
        <v>990</v>
      </c>
      <c r="C8" s="59">
        <v>15180</v>
      </c>
      <c r="D8" s="59">
        <v>12770</v>
      </c>
      <c r="E8" s="59">
        <v>5090</v>
      </c>
      <c r="F8" s="59">
        <v>10660</v>
      </c>
      <c r="G8" s="59">
        <v>6770</v>
      </c>
      <c r="H8" s="59">
        <v>5210</v>
      </c>
    </row>
    <row r="9" spans="2:8">
      <c r="B9" s="59" t="s">
        <v>991</v>
      </c>
      <c r="C9" s="59">
        <v>910</v>
      </c>
      <c r="D9" s="59">
        <v>1340</v>
      </c>
      <c r="E9" s="59">
        <v>7240</v>
      </c>
      <c r="F9" s="59">
        <v>14520</v>
      </c>
      <c r="G9" s="59">
        <v>4150</v>
      </c>
      <c r="H9" s="59">
        <v>19120</v>
      </c>
    </row>
    <row r="10" spans="2:8">
      <c r="B10" s="59" t="s">
        <v>992</v>
      </c>
      <c r="C10" s="59">
        <v>7450</v>
      </c>
      <c r="D10" s="59">
        <v>13230</v>
      </c>
      <c r="E10" s="59">
        <v>12810</v>
      </c>
      <c r="F10" s="59">
        <v>5290</v>
      </c>
      <c r="G10" s="59">
        <v>260</v>
      </c>
      <c r="H10" s="59">
        <v>16380</v>
      </c>
    </row>
  </sheetData>
  <dataConsolidate/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A1AF-0E0E-4DF2-AFA0-8B36C8C0330B}">
  <dimension ref="B1:H10"/>
  <sheetViews>
    <sheetView showGridLines="0" zoomScale="85" zoomScaleNormal="85" workbookViewId="0">
      <selection activeCell="K25" sqref="K25"/>
    </sheetView>
  </sheetViews>
  <sheetFormatPr defaultRowHeight="16.5"/>
  <cols>
    <col min="2" max="2" width="13.5" customWidth="1"/>
    <col min="3" max="8" width="9.125" bestFit="1" customWidth="1"/>
  </cols>
  <sheetData>
    <row r="1" spans="2:8" s="38" customFormat="1" ht="24.95" customHeight="1">
      <c r="B1" s="35" t="s">
        <v>984</v>
      </c>
      <c r="C1" s="37"/>
    </row>
    <row r="3" spans="2:8">
      <c r="B3" s="39" t="s">
        <v>985</v>
      </c>
      <c r="C3" s="39" t="s">
        <v>993</v>
      </c>
      <c r="D3" s="39" t="s">
        <v>994</v>
      </c>
      <c r="E3" s="39" t="s">
        <v>995</v>
      </c>
      <c r="F3" s="39" t="s">
        <v>996</v>
      </c>
      <c r="G3" s="39" t="s">
        <v>997</v>
      </c>
      <c r="H3" s="39" t="s">
        <v>998</v>
      </c>
    </row>
    <row r="4" spans="2:8">
      <c r="B4" s="59" t="s">
        <v>986</v>
      </c>
      <c r="C4" s="59">
        <v>19650</v>
      </c>
      <c r="D4" s="59">
        <v>4860</v>
      </c>
      <c r="E4" s="59">
        <v>14010</v>
      </c>
      <c r="F4" s="59">
        <v>17090</v>
      </c>
      <c r="G4" s="59">
        <v>16630</v>
      </c>
      <c r="H4" s="59">
        <v>8820</v>
      </c>
    </row>
    <row r="5" spans="2:8">
      <c r="B5" s="59" t="s">
        <v>987</v>
      </c>
      <c r="C5" s="59">
        <v>4530</v>
      </c>
      <c r="D5" s="59">
        <v>6170</v>
      </c>
      <c r="E5" s="59">
        <v>160</v>
      </c>
      <c r="F5" s="59">
        <v>5350</v>
      </c>
      <c r="G5" s="59">
        <v>2280</v>
      </c>
      <c r="H5" s="59">
        <v>2460</v>
      </c>
    </row>
    <row r="6" spans="2:8">
      <c r="B6" s="59" t="s">
        <v>988</v>
      </c>
      <c r="C6" s="59">
        <v>6490</v>
      </c>
      <c r="D6" s="59">
        <v>1380</v>
      </c>
      <c r="E6" s="59">
        <v>3680</v>
      </c>
      <c r="F6" s="59">
        <v>6700</v>
      </c>
      <c r="G6" s="59">
        <v>13780</v>
      </c>
      <c r="H6" s="59">
        <v>5140</v>
      </c>
    </row>
    <row r="7" spans="2:8">
      <c r="B7" s="59" t="s">
        <v>989</v>
      </c>
      <c r="C7" s="59">
        <v>10110</v>
      </c>
      <c r="D7" s="59">
        <v>13150</v>
      </c>
      <c r="E7" s="59">
        <v>13310</v>
      </c>
      <c r="F7" s="59">
        <v>18230</v>
      </c>
      <c r="G7" s="59">
        <v>870</v>
      </c>
      <c r="H7" s="59">
        <v>18840</v>
      </c>
    </row>
    <row r="8" spans="2:8">
      <c r="B8" s="59" t="s">
        <v>990</v>
      </c>
      <c r="C8" s="59">
        <v>2270</v>
      </c>
      <c r="D8" s="59">
        <v>3640</v>
      </c>
      <c r="E8" s="59">
        <v>11130</v>
      </c>
      <c r="F8" s="59">
        <v>12250</v>
      </c>
      <c r="G8" s="59">
        <v>3030</v>
      </c>
      <c r="H8" s="59">
        <v>3260</v>
      </c>
    </row>
    <row r="9" spans="2:8">
      <c r="B9" s="59" t="s">
        <v>991</v>
      </c>
      <c r="C9" s="59">
        <v>10990</v>
      </c>
      <c r="D9" s="59">
        <v>11800</v>
      </c>
      <c r="E9" s="59">
        <v>12710</v>
      </c>
      <c r="F9" s="59">
        <v>15470</v>
      </c>
      <c r="G9" s="59">
        <v>4510</v>
      </c>
      <c r="H9" s="59">
        <v>9380</v>
      </c>
    </row>
    <row r="10" spans="2:8">
      <c r="B10" s="59" t="s">
        <v>992</v>
      </c>
      <c r="C10" s="59">
        <v>1890</v>
      </c>
      <c r="D10" s="59">
        <v>14920</v>
      </c>
      <c r="E10" s="59">
        <v>13720</v>
      </c>
      <c r="F10" s="59">
        <v>6280</v>
      </c>
      <c r="G10" s="59">
        <v>16480</v>
      </c>
      <c r="H10" s="59">
        <v>4980</v>
      </c>
    </row>
  </sheetData>
  <dataConsolidate/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05FB-3BCD-422B-A549-919AA9DD7606}">
  <dimension ref="B2:T27"/>
  <sheetViews>
    <sheetView workbookViewId="0">
      <selection activeCell="D5" sqref="D5"/>
    </sheetView>
  </sheetViews>
  <sheetFormatPr defaultColWidth="9" defaultRowHeight="16.5"/>
  <cols>
    <col min="1" max="1" width="2.625" style="65" customWidth="1"/>
    <col min="2" max="2" width="10.5" style="65" customWidth="1"/>
    <col min="3" max="4" width="12" style="65" customWidth="1"/>
    <col min="5" max="11" width="10.625" style="65" customWidth="1"/>
    <col min="12" max="12" width="6.625" style="65" customWidth="1"/>
    <col min="13" max="13" width="9.625" style="67" customWidth="1"/>
    <col min="14" max="14" width="11" style="67" customWidth="1"/>
    <col min="15" max="15" width="9" style="67"/>
    <col min="16" max="16" width="7.25" style="67" customWidth="1"/>
    <col min="17" max="17" width="10.125" style="67" customWidth="1"/>
    <col min="18" max="18" width="9.375" style="67" customWidth="1"/>
    <col min="19" max="19" width="8.125" style="67" customWidth="1"/>
    <col min="20" max="20" width="10.5" style="65" customWidth="1"/>
    <col min="21" max="16384" width="9" style="65"/>
  </cols>
  <sheetData>
    <row r="2" spans="2:20" ht="21" customHeight="1" thickBot="1">
      <c r="B2" s="180" t="s">
        <v>999</v>
      </c>
      <c r="C2" s="180"/>
      <c r="D2" s="180"/>
      <c r="E2" s="180"/>
      <c r="F2" s="180"/>
      <c r="G2" s="180"/>
      <c r="H2" s="180"/>
      <c r="I2" s="180"/>
      <c r="J2" s="180"/>
      <c r="K2" s="180"/>
      <c r="M2" s="66" t="s">
        <v>1058</v>
      </c>
    </row>
    <row r="4" spans="2:20" ht="24.95" customHeight="1">
      <c r="B4" s="68" t="s">
        <v>1000</v>
      </c>
      <c r="C4" s="68" t="s">
        <v>1001</v>
      </c>
      <c r="D4" s="68" t="s">
        <v>1002</v>
      </c>
      <c r="E4" s="68" t="s">
        <v>1003</v>
      </c>
      <c r="F4" s="68" t="s">
        <v>1004</v>
      </c>
      <c r="G4" s="68" t="s">
        <v>1005</v>
      </c>
      <c r="H4" s="68" t="s">
        <v>1006</v>
      </c>
      <c r="I4" s="68" t="s">
        <v>1007</v>
      </c>
      <c r="J4" s="68" t="s">
        <v>1008</v>
      </c>
      <c r="K4" s="68" t="s">
        <v>1009</v>
      </c>
      <c r="M4" s="67" t="s">
        <v>1010</v>
      </c>
      <c r="T4" s="68" t="s">
        <v>1011</v>
      </c>
    </row>
    <row r="5" spans="2:20" ht="24.95" customHeight="1">
      <c r="B5" s="69" t="s">
        <v>1012</v>
      </c>
      <c r="C5" s="70" t="s">
        <v>1013</v>
      </c>
      <c r="D5" s="71" t="str">
        <f>VLOOKUP(B5,$Q$5:$R$8,2,FALSE)</f>
        <v>기획부</v>
      </c>
      <c r="E5" s="70">
        <v>92</v>
      </c>
      <c r="F5" s="70">
        <v>88</v>
      </c>
      <c r="G5" s="70">
        <v>75</v>
      </c>
      <c r="H5" s="70">
        <f t="shared" ref="H5:H15" si="0">SUM(E5:G5)</f>
        <v>255</v>
      </c>
      <c r="I5" s="72">
        <f t="shared" ref="I5:I15" si="1">AVERAGE(E5:G5)</f>
        <v>85</v>
      </c>
      <c r="J5" s="73">
        <f>VLOOKUP(I5,$M$5:$O$13,2,TRUE)</f>
        <v>3.5</v>
      </c>
      <c r="K5" s="71"/>
      <c r="M5" s="74" t="s">
        <v>1014</v>
      </c>
      <c r="N5" s="74" t="s">
        <v>1015</v>
      </c>
      <c r="O5" s="74" t="s">
        <v>1016</v>
      </c>
      <c r="Q5" s="75" t="s">
        <v>1017</v>
      </c>
      <c r="R5" s="75" t="s">
        <v>1018</v>
      </c>
      <c r="S5" s="76"/>
      <c r="T5" s="77" t="s">
        <v>1019</v>
      </c>
    </row>
    <row r="6" spans="2:20" ht="24.95" customHeight="1">
      <c r="B6" s="69" t="s">
        <v>1020</v>
      </c>
      <c r="C6" s="70" t="s">
        <v>1021</v>
      </c>
      <c r="D6" s="71"/>
      <c r="E6" s="70">
        <v>92</v>
      </c>
      <c r="F6" s="70">
        <v>100</v>
      </c>
      <c r="G6" s="70">
        <v>97</v>
      </c>
      <c r="H6" s="70">
        <f t="shared" si="0"/>
        <v>289</v>
      </c>
      <c r="I6" s="72">
        <f t="shared" si="1"/>
        <v>96.333333333333329</v>
      </c>
      <c r="J6" s="73"/>
      <c r="K6" s="71"/>
      <c r="M6" s="78">
        <v>0</v>
      </c>
      <c r="N6" s="79">
        <v>0</v>
      </c>
      <c r="O6" s="80" t="s">
        <v>978</v>
      </c>
      <c r="Q6" s="69" t="s">
        <v>1022</v>
      </c>
      <c r="R6" s="69" t="s">
        <v>1023</v>
      </c>
      <c r="S6" s="76"/>
      <c r="T6" s="77" t="s">
        <v>1024</v>
      </c>
    </row>
    <row r="7" spans="2:20" ht="24.95" customHeight="1">
      <c r="B7" s="69" t="s">
        <v>1020</v>
      </c>
      <c r="C7" s="70" t="s">
        <v>1025</v>
      </c>
      <c r="D7" s="71"/>
      <c r="E7" s="70">
        <v>76</v>
      </c>
      <c r="F7" s="70">
        <v>60</v>
      </c>
      <c r="G7" s="70">
        <v>65</v>
      </c>
      <c r="H7" s="70">
        <f t="shared" si="0"/>
        <v>201</v>
      </c>
      <c r="I7" s="72">
        <f t="shared" si="1"/>
        <v>67</v>
      </c>
      <c r="J7" s="73"/>
      <c r="K7" s="71"/>
      <c r="M7" s="78">
        <v>65</v>
      </c>
      <c r="N7" s="79">
        <v>1.5</v>
      </c>
      <c r="O7" s="80" t="s">
        <v>1026</v>
      </c>
      <c r="Q7" s="69" t="s">
        <v>1012</v>
      </c>
      <c r="R7" s="69" t="s">
        <v>1027</v>
      </c>
      <c r="S7" s="76"/>
      <c r="T7" s="77" t="s">
        <v>1028</v>
      </c>
    </row>
    <row r="8" spans="2:20" ht="24.95" customHeight="1">
      <c r="B8" s="69" t="s">
        <v>1012</v>
      </c>
      <c r="C8" s="70" t="s">
        <v>1029</v>
      </c>
      <c r="D8" s="71"/>
      <c r="E8" s="70">
        <v>86</v>
      </c>
      <c r="F8" s="70">
        <v>80</v>
      </c>
      <c r="G8" s="70">
        <v>75</v>
      </c>
      <c r="H8" s="70">
        <f t="shared" si="0"/>
        <v>241</v>
      </c>
      <c r="I8" s="72">
        <f t="shared" si="1"/>
        <v>80.333333333333329</v>
      </c>
      <c r="J8" s="73"/>
      <c r="K8" s="71"/>
      <c r="M8" s="78">
        <v>70</v>
      </c>
      <c r="N8" s="79">
        <v>2</v>
      </c>
      <c r="O8" s="80" t="s">
        <v>1030</v>
      </c>
      <c r="Q8" s="69" t="s">
        <v>1031</v>
      </c>
      <c r="R8" s="69" t="s">
        <v>1032</v>
      </c>
      <c r="S8" s="76"/>
      <c r="T8" s="77" t="s">
        <v>1033</v>
      </c>
    </row>
    <row r="9" spans="2:20" ht="24.95" customHeight="1">
      <c r="B9" s="69" t="s">
        <v>1020</v>
      </c>
      <c r="C9" s="70" t="s">
        <v>1034</v>
      </c>
      <c r="D9" s="71"/>
      <c r="E9" s="70">
        <v>90</v>
      </c>
      <c r="F9" s="70">
        <v>90</v>
      </c>
      <c r="G9" s="70">
        <v>90</v>
      </c>
      <c r="H9" s="70">
        <f t="shared" si="0"/>
        <v>270</v>
      </c>
      <c r="I9" s="72">
        <f t="shared" si="1"/>
        <v>90</v>
      </c>
      <c r="J9" s="73"/>
      <c r="K9" s="71"/>
      <c r="M9" s="78">
        <v>75</v>
      </c>
      <c r="N9" s="79">
        <v>2.5</v>
      </c>
      <c r="O9" s="80" t="s">
        <v>1035</v>
      </c>
      <c r="Q9" s="76"/>
      <c r="R9" s="76"/>
      <c r="S9" s="76"/>
      <c r="T9" s="77" t="s">
        <v>1024</v>
      </c>
    </row>
    <row r="10" spans="2:20" ht="24.95" customHeight="1">
      <c r="B10" s="69" t="s">
        <v>1012</v>
      </c>
      <c r="C10" s="70" t="s">
        <v>1036</v>
      </c>
      <c r="D10" s="71"/>
      <c r="E10" s="70">
        <v>85</v>
      </c>
      <c r="F10" s="70">
        <v>77</v>
      </c>
      <c r="G10" s="70">
        <v>86</v>
      </c>
      <c r="H10" s="70">
        <f t="shared" si="0"/>
        <v>248</v>
      </c>
      <c r="I10" s="72">
        <f t="shared" si="1"/>
        <v>82.666666666666671</v>
      </c>
      <c r="J10" s="73"/>
      <c r="K10" s="71"/>
      <c r="M10" s="78">
        <v>80</v>
      </c>
      <c r="N10" s="79">
        <v>3</v>
      </c>
      <c r="O10" s="80" t="s">
        <v>1037</v>
      </c>
      <c r="Q10" s="75" t="s">
        <v>1038</v>
      </c>
      <c r="R10" s="75" t="s">
        <v>1039</v>
      </c>
      <c r="S10" s="76"/>
      <c r="T10" s="77" t="s">
        <v>1040</v>
      </c>
    </row>
    <row r="11" spans="2:20" ht="24.95" customHeight="1">
      <c r="B11" s="69" t="s">
        <v>1012</v>
      </c>
      <c r="C11" s="70" t="s">
        <v>1041</v>
      </c>
      <c r="D11" s="71"/>
      <c r="E11" s="70">
        <v>94</v>
      </c>
      <c r="F11" s="70">
        <v>92</v>
      </c>
      <c r="G11" s="70">
        <v>90</v>
      </c>
      <c r="H11" s="70">
        <f t="shared" si="0"/>
        <v>276</v>
      </c>
      <c r="I11" s="72">
        <f t="shared" si="1"/>
        <v>92</v>
      </c>
      <c r="J11" s="73"/>
      <c r="K11" s="71"/>
      <c r="M11" s="78">
        <v>85</v>
      </c>
      <c r="N11" s="79">
        <v>3.5</v>
      </c>
      <c r="O11" s="80" t="s">
        <v>1042</v>
      </c>
      <c r="Q11" s="69">
        <v>11</v>
      </c>
      <c r="R11" s="69" t="s">
        <v>1043</v>
      </c>
      <c r="S11" s="76"/>
      <c r="T11" s="77" t="s">
        <v>1044</v>
      </c>
    </row>
    <row r="12" spans="2:20" ht="24.95" customHeight="1">
      <c r="B12" s="69" t="s">
        <v>1045</v>
      </c>
      <c r="C12" s="70" t="s">
        <v>1046</v>
      </c>
      <c r="D12" s="71"/>
      <c r="E12" s="70">
        <v>60</v>
      </c>
      <c r="F12" s="70">
        <v>50</v>
      </c>
      <c r="G12" s="70">
        <v>45</v>
      </c>
      <c r="H12" s="70">
        <f t="shared" si="0"/>
        <v>155</v>
      </c>
      <c r="I12" s="72">
        <f t="shared" si="1"/>
        <v>51.666666666666664</v>
      </c>
      <c r="J12" s="73"/>
      <c r="K12" s="71"/>
      <c r="M12" s="78">
        <v>90</v>
      </c>
      <c r="N12" s="79">
        <v>4</v>
      </c>
      <c r="O12" s="80" t="s">
        <v>1047</v>
      </c>
      <c r="Q12" s="69">
        <v>22</v>
      </c>
      <c r="R12" s="69" t="s">
        <v>1048</v>
      </c>
      <c r="S12" s="76"/>
      <c r="T12" s="77" t="s">
        <v>1049</v>
      </c>
    </row>
    <row r="13" spans="2:20" ht="24.95" customHeight="1">
      <c r="B13" s="69" t="s">
        <v>1045</v>
      </c>
      <c r="C13" s="70" t="s">
        <v>1050</v>
      </c>
      <c r="D13" s="71"/>
      <c r="E13" s="70">
        <v>75</v>
      </c>
      <c r="F13" s="70">
        <v>80</v>
      </c>
      <c r="G13" s="70">
        <v>80</v>
      </c>
      <c r="H13" s="70">
        <f t="shared" si="0"/>
        <v>235</v>
      </c>
      <c r="I13" s="72">
        <f t="shared" si="1"/>
        <v>78.333333333333329</v>
      </c>
      <c r="J13" s="73"/>
      <c r="K13" s="71"/>
      <c r="M13" s="78">
        <v>95</v>
      </c>
      <c r="N13" s="79">
        <v>4.5</v>
      </c>
      <c r="O13" s="80" t="s">
        <v>1051</v>
      </c>
      <c r="Q13" s="69">
        <v>33</v>
      </c>
      <c r="R13" s="69" t="s">
        <v>1052</v>
      </c>
      <c r="S13" s="76"/>
      <c r="T13" s="77" t="s">
        <v>1053</v>
      </c>
    </row>
    <row r="14" spans="2:20" ht="24.95" customHeight="1">
      <c r="B14" s="69" t="s">
        <v>1020</v>
      </c>
      <c r="C14" s="70" t="s">
        <v>1054</v>
      </c>
      <c r="D14" s="71"/>
      <c r="E14" s="70">
        <v>85</v>
      </c>
      <c r="F14" s="70">
        <v>78</v>
      </c>
      <c r="G14" s="70">
        <v>65</v>
      </c>
      <c r="H14" s="70">
        <f t="shared" si="0"/>
        <v>228</v>
      </c>
      <c r="I14" s="72">
        <f t="shared" si="1"/>
        <v>76</v>
      </c>
      <c r="J14" s="73"/>
      <c r="K14" s="71"/>
      <c r="Q14" s="76"/>
      <c r="R14" s="76"/>
      <c r="S14" s="76"/>
      <c r="T14" s="77" t="s">
        <v>1055</v>
      </c>
    </row>
    <row r="15" spans="2:20" ht="24.95" customHeight="1">
      <c r="B15" s="69" t="s">
        <v>1012</v>
      </c>
      <c r="C15" s="70" t="s">
        <v>1056</v>
      </c>
      <c r="D15" s="71"/>
      <c r="E15" s="70">
        <v>91</v>
      </c>
      <c r="F15" s="70">
        <v>94</v>
      </c>
      <c r="G15" s="70">
        <v>97</v>
      </c>
      <c r="H15" s="70">
        <f t="shared" si="0"/>
        <v>282</v>
      </c>
      <c r="I15" s="72">
        <f t="shared" si="1"/>
        <v>94</v>
      </c>
      <c r="J15" s="73"/>
      <c r="K15" s="71"/>
      <c r="Q15" s="76"/>
      <c r="R15" s="76"/>
      <c r="S15" s="76"/>
      <c r="T15" s="77" t="s">
        <v>1057</v>
      </c>
    </row>
    <row r="16" spans="2:20" ht="21.95" customHeight="1">
      <c r="C16" s="81"/>
      <c r="D16" s="81"/>
      <c r="Q16" s="76"/>
      <c r="R16" s="76"/>
      <c r="S16" s="76"/>
    </row>
    <row r="17" spans="3:16" ht="21.95" customHeight="1"/>
    <row r="18" spans="3:16" ht="21.95" customHeight="1"/>
    <row r="19" spans="3:16" ht="21.95" customHeight="1"/>
    <row r="20" spans="3:16" ht="21.95" customHeight="1">
      <c r="M20" s="76"/>
      <c r="N20" s="76"/>
    </row>
    <row r="21" spans="3:16" ht="21.95" customHeight="1">
      <c r="C21" s="82"/>
      <c r="D21" s="82"/>
      <c r="L21" s="81"/>
      <c r="M21" s="76"/>
      <c r="N21" s="76"/>
      <c r="O21" s="83"/>
      <c r="P21" s="83"/>
    </row>
    <row r="22" spans="3:16" ht="21.95" customHeight="1">
      <c r="L22" s="81"/>
      <c r="M22" s="76"/>
      <c r="N22" s="76"/>
      <c r="O22" s="83"/>
      <c r="P22" s="83"/>
    </row>
    <row r="23" spans="3:16" ht="21.95" customHeight="1">
      <c r="M23" s="76"/>
      <c r="N23" s="76"/>
    </row>
    <row r="24" spans="3:16" ht="21.95" customHeight="1">
      <c r="M24" s="76"/>
      <c r="N24" s="76"/>
    </row>
    <row r="25" spans="3:16" ht="21.95" customHeight="1">
      <c r="M25" s="76"/>
      <c r="N25" s="76"/>
    </row>
    <row r="26" spans="3:16" ht="21.95" customHeight="1"/>
    <row r="27" spans="3:16" ht="21.95" customHeight="1"/>
  </sheetData>
  <mergeCells count="1">
    <mergeCell ref="B2:K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73E2-229A-4248-B46A-0B856181DBEF}">
  <dimension ref="B2:H63"/>
  <sheetViews>
    <sheetView workbookViewId="0">
      <selection activeCell="C2" sqref="C2"/>
    </sheetView>
  </sheetViews>
  <sheetFormatPr defaultRowHeight="13.5" customHeight="1"/>
  <cols>
    <col min="1" max="1" width="3.625" style="149" customWidth="1"/>
    <col min="2" max="2" width="12.625" style="155" customWidth="1"/>
    <col min="3" max="4" width="13.125" style="149" customWidth="1"/>
    <col min="5" max="5" width="26.5" style="149" customWidth="1"/>
    <col min="6" max="6" width="15.875" style="149" customWidth="1"/>
    <col min="7" max="7" width="9.75" style="149" customWidth="1"/>
    <col min="8" max="8" width="13.875" style="149" customWidth="1"/>
    <col min="9" max="16384" width="9" style="149"/>
  </cols>
  <sheetData>
    <row r="2" spans="2:8" ht="22.5" customHeight="1">
      <c r="B2" s="146" t="s">
        <v>1156</v>
      </c>
      <c r="C2" s="147" t="s">
        <v>1230</v>
      </c>
      <c r="D2" s="148" t="s">
        <v>1158</v>
      </c>
    </row>
    <row r="5" spans="2:8" ht="18" customHeight="1">
      <c r="B5" s="150"/>
      <c r="H5" s="151"/>
    </row>
    <row r="6" spans="2:8" ht="20.25" customHeight="1">
      <c r="B6" s="152" t="s">
        <v>1159</v>
      </c>
      <c r="C6" s="152" t="s">
        <v>1160</v>
      </c>
      <c r="D6" s="152" t="s">
        <v>1039</v>
      </c>
      <c r="E6" s="152" t="s">
        <v>1161</v>
      </c>
      <c r="F6" s="152" t="s">
        <v>820</v>
      </c>
      <c r="H6" s="153"/>
    </row>
    <row r="7" spans="2:8" ht="26.25" customHeight="1">
      <c r="B7" s="154" t="str">
        <f>VLOOKUP($C$2,$B$11:$F$37,1,FALSE)</f>
        <v>이동기</v>
      </c>
      <c r="C7" s="154" t="str">
        <f>VLOOKUP($C$2,$B$11:$F$37,2,FALSE)</f>
        <v>기획부</v>
      </c>
      <c r="D7" s="154" t="str">
        <f>VLOOKUP($C$2,$B$11:$F$37,3,FALSE)</f>
        <v>과장</v>
      </c>
      <c r="E7" s="154" t="str">
        <f>VLOOKUP($C$2,$B$11:$F$37,4,FALSE)</f>
        <v>서대문구 창천동 167-3</v>
      </c>
      <c r="F7" s="154" t="str">
        <f>VLOOKUP($C$2,$B$11:$F$37,5,FALSE)</f>
        <v>010-5970-3469</v>
      </c>
      <c r="H7" s="153"/>
    </row>
    <row r="8" spans="2:8" ht="13.5" customHeight="1">
      <c r="H8" s="153"/>
    </row>
    <row r="9" spans="2:8" ht="13.5" customHeight="1">
      <c r="H9" s="153"/>
    </row>
    <row r="10" spans="2:8" ht="18" customHeight="1">
      <c r="B10" s="150"/>
      <c r="H10" s="153"/>
    </row>
    <row r="11" spans="2:8" ht="20.100000000000001" customHeight="1">
      <c r="B11" s="156" t="s">
        <v>1159</v>
      </c>
      <c r="C11" s="157" t="s">
        <v>1002</v>
      </c>
      <c r="D11" s="157" t="s">
        <v>1162</v>
      </c>
      <c r="E11" s="156" t="s">
        <v>1161</v>
      </c>
      <c r="F11" s="158" t="s">
        <v>1163</v>
      </c>
      <c r="H11" s="153"/>
    </row>
    <row r="12" spans="2:8" ht="20.100000000000001" customHeight="1">
      <c r="B12" s="159" t="s">
        <v>1164</v>
      </c>
      <c r="C12" s="160" t="s">
        <v>1027</v>
      </c>
      <c r="D12" s="160" t="s">
        <v>1165</v>
      </c>
      <c r="E12" s="161" t="s">
        <v>1166</v>
      </c>
      <c r="F12" s="162" t="s">
        <v>962</v>
      </c>
      <c r="H12" s="153"/>
    </row>
    <row r="13" spans="2:8" ht="20.100000000000001" customHeight="1">
      <c r="B13" s="163" t="s">
        <v>1167</v>
      </c>
      <c r="C13" s="160" t="s">
        <v>1032</v>
      </c>
      <c r="D13" s="160" t="s">
        <v>1165</v>
      </c>
      <c r="E13" s="161" t="s">
        <v>1168</v>
      </c>
      <c r="F13" s="162" t="s">
        <v>934</v>
      </c>
      <c r="H13" s="153"/>
    </row>
    <row r="14" spans="2:8" ht="20.100000000000001" customHeight="1">
      <c r="B14" s="163" t="s">
        <v>1169</v>
      </c>
      <c r="C14" s="160" t="s">
        <v>1170</v>
      </c>
      <c r="D14" s="160" t="s">
        <v>1165</v>
      </c>
      <c r="E14" s="161" t="s">
        <v>1171</v>
      </c>
      <c r="F14" s="162" t="s">
        <v>935</v>
      </c>
      <c r="H14" s="153"/>
    </row>
    <row r="15" spans="2:8" ht="20.100000000000001" customHeight="1">
      <c r="B15" s="159" t="s">
        <v>1172</v>
      </c>
      <c r="C15" s="160" t="s">
        <v>1173</v>
      </c>
      <c r="D15" s="160" t="s">
        <v>1174</v>
      </c>
      <c r="E15" s="161" t="s">
        <v>1175</v>
      </c>
      <c r="F15" s="162" t="s">
        <v>964</v>
      </c>
      <c r="H15" s="153"/>
    </row>
    <row r="16" spans="2:8" ht="20.100000000000001" customHeight="1">
      <c r="B16" s="159" t="s">
        <v>1176</v>
      </c>
      <c r="C16" s="160" t="s">
        <v>1027</v>
      </c>
      <c r="D16" s="160" t="s">
        <v>1174</v>
      </c>
      <c r="E16" s="161" t="s">
        <v>1177</v>
      </c>
      <c r="F16" s="162" t="s">
        <v>937</v>
      </c>
      <c r="H16" s="153"/>
    </row>
    <row r="17" spans="2:8" ht="20.100000000000001" customHeight="1">
      <c r="B17" s="163" t="s">
        <v>1178</v>
      </c>
      <c r="C17" s="160" t="s">
        <v>1179</v>
      </c>
      <c r="D17" s="160" t="s">
        <v>1174</v>
      </c>
      <c r="E17" s="161" t="s">
        <v>1168</v>
      </c>
      <c r="F17" s="162" t="s">
        <v>938</v>
      </c>
      <c r="H17" s="153"/>
    </row>
    <row r="18" spans="2:8" ht="20.100000000000001" customHeight="1">
      <c r="B18" s="159" t="s">
        <v>1180</v>
      </c>
      <c r="C18" s="160" t="s">
        <v>1173</v>
      </c>
      <c r="D18" s="160" t="s">
        <v>1174</v>
      </c>
      <c r="E18" s="161" t="s">
        <v>1181</v>
      </c>
      <c r="F18" s="162" t="s">
        <v>938</v>
      </c>
      <c r="H18" s="153"/>
    </row>
    <row r="19" spans="2:8" ht="20.100000000000001" customHeight="1">
      <c r="B19" s="159" t="s">
        <v>1182</v>
      </c>
      <c r="C19" s="160" t="s">
        <v>1173</v>
      </c>
      <c r="D19" s="160" t="s">
        <v>1174</v>
      </c>
      <c r="E19" s="161" t="s">
        <v>1183</v>
      </c>
      <c r="F19" s="162" t="s">
        <v>965</v>
      </c>
      <c r="H19" s="153"/>
    </row>
    <row r="20" spans="2:8" ht="20.100000000000001" customHeight="1">
      <c r="B20" s="159" t="s">
        <v>1184</v>
      </c>
      <c r="C20" s="160" t="s">
        <v>1179</v>
      </c>
      <c r="D20" s="160" t="s">
        <v>1174</v>
      </c>
      <c r="E20" s="161" t="s">
        <v>1185</v>
      </c>
      <c r="F20" s="162" t="s">
        <v>966</v>
      </c>
      <c r="H20" s="153"/>
    </row>
    <row r="21" spans="2:8" ht="20.100000000000001" customHeight="1">
      <c r="B21" s="159" t="s">
        <v>1186</v>
      </c>
      <c r="C21" s="160" t="s">
        <v>1173</v>
      </c>
      <c r="D21" s="160" t="s">
        <v>1187</v>
      </c>
      <c r="E21" s="161" t="s">
        <v>1188</v>
      </c>
      <c r="F21" s="162" t="s">
        <v>941</v>
      </c>
      <c r="H21" s="153"/>
    </row>
    <row r="22" spans="2:8" ht="20.100000000000001" customHeight="1">
      <c r="B22" s="163" t="s">
        <v>1189</v>
      </c>
      <c r="C22" s="160" t="s">
        <v>1173</v>
      </c>
      <c r="D22" s="160" t="s">
        <v>1174</v>
      </c>
      <c r="E22" s="161" t="s">
        <v>1185</v>
      </c>
      <c r="F22" s="162" t="s">
        <v>941</v>
      </c>
      <c r="H22" s="153"/>
    </row>
    <row r="23" spans="2:8" ht="20.100000000000001" customHeight="1">
      <c r="B23" s="159" t="s">
        <v>1190</v>
      </c>
      <c r="C23" s="160" t="s">
        <v>1191</v>
      </c>
      <c r="D23" s="160" t="s">
        <v>1174</v>
      </c>
      <c r="E23" s="161" t="s">
        <v>1192</v>
      </c>
      <c r="F23" s="162" t="s">
        <v>942</v>
      </c>
      <c r="H23" s="153"/>
    </row>
    <row r="24" spans="2:8" ht="20.100000000000001" customHeight="1">
      <c r="B24" s="159" t="s">
        <v>1193</v>
      </c>
      <c r="C24" s="160" t="s">
        <v>1170</v>
      </c>
      <c r="D24" s="160" t="s">
        <v>1174</v>
      </c>
      <c r="E24" s="161" t="s">
        <v>1181</v>
      </c>
      <c r="F24" s="162" t="s">
        <v>943</v>
      </c>
      <c r="H24" s="153"/>
    </row>
    <row r="25" spans="2:8" ht="20.100000000000001" customHeight="1">
      <c r="B25" s="159" t="s">
        <v>1194</v>
      </c>
      <c r="C25" s="160" t="s">
        <v>1032</v>
      </c>
      <c r="D25" s="160" t="s">
        <v>1174</v>
      </c>
      <c r="E25" s="161" t="s">
        <v>1195</v>
      </c>
      <c r="F25" s="162" t="s">
        <v>944</v>
      </c>
    </row>
    <row r="26" spans="2:8" ht="20.100000000000001" customHeight="1">
      <c r="B26" s="163" t="s">
        <v>1157</v>
      </c>
      <c r="C26" s="160" t="s">
        <v>1191</v>
      </c>
      <c r="D26" s="160" t="s">
        <v>1187</v>
      </c>
      <c r="E26" s="161" t="s">
        <v>1196</v>
      </c>
      <c r="F26" s="162" t="s">
        <v>967</v>
      </c>
    </row>
    <row r="27" spans="2:8" ht="20.100000000000001" customHeight="1">
      <c r="B27" s="163" t="s">
        <v>1197</v>
      </c>
      <c r="C27" s="160" t="s">
        <v>1027</v>
      </c>
      <c r="D27" s="160" t="s">
        <v>1174</v>
      </c>
      <c r="E27" s="161" t="s">
        <v>1198</v>
      </c>
      <c r="F27" s="164" t="s">
        <v>1199</v>
      </c>
    </row>
    <row r="28" spans="2:8" ht="20.100000000000001" customHeight="1">
      <c r="B28" s="159" t="s">
        <v>1200</v>
      </c>
      <c r="C28" s="160" t="s">
        <v>1170</v>
      </c>
      <c r="D28" s="160" t="s">
        <v>1174</v>
      </c>
      <c r="E28" s="161" t="s">
        <v>1196</v>
      </c>
      <c r="F28" s="164" t="s">
        <v>1201</v>
      </c>
    </row>
    <row r="29" spans="2:8" ht="20.100000000000001" customHeight="1">
      <c r="B29" s="163" t="s">
        <v>1202</v>
      </c>
      <c r="C29" s="160" t="s">
        <v>1032</v>
      </c>
      <c r="D29" s="160" t="s">
        <v>1174</v>
      </c>
      <c r="E29" s="161" t="s">
        <v>1181</v>
      </c>
      <c r="F29" s="164" t="s">
        <v>1203</v>
      </c>
    </row>
    <row r="30" spans="2:8" ht="20.100000000000001" customHeight="1">
      <c r="B30" s="163" t="s">
        <v>1204</v>
      </c>
      <c r="C30" s="160" t="s">
        <v>1170</v>
      </c>
      <c r="D30" s="160" t="s">
        <v>1165</v>
      </c>
      <c r="E30" s="161" t="s">
        <v>1205</v>
      </c>
      <c r="F30" s="164" t="s">
        <v>1206</v>
      </c>
      <c r="H30" s="165"/>
    </row>
    <row r="31" spans="2:8" ht="20.100000000000001" customHeight="1">
      <c r="B31" s="159" t="s">
        <v>1207</v>
      </c>
      <c r="C31" s="160" t="s">
        <v>1027</v>
      </c>
      <c r="D31" s="160" t="s">
        <v>1187</v>
      </c>
      <c r="E31" s="161" t="s">
        <v>1208</v>
      </c>
      <c r="F31" s="164" t="s">
        <v>1209</v>
      </c>
    </row>
    <row r="32" spans="2:8" ht="20.100000000000001" customHeight="1">
      <c r="B32" s="159" t="s">
        <v>1210</v>
      </c>
      <c r="C32" s="160" t="s">
        <v>1173</v>
      </c>
      <c r="D32" s="160" t="s">
        <v>1165</v>
      </c>
      <c r="E32" s="161" t="s">
        <v>1211</v>
      </c>
      <c r="F32" s="164" t="s">
        <v>1212</v>
      </c>
    </row>
    <row r="33" spans="2:6" ht="20.100000000000001" customHeight="1">
      <c r="B33" s="159" t="s">
        <v>1213</v>
      </c>
      <c r="C33" s="160" t="s">
        <v>1032</v>
      </c>
      <c r="D33" s="160" t="s">
        <v>1165</v>
      </c>
      <c r="E33" s="161" t="s">
        <v>1196</v>
      </c>
      <c r="F33" s="164" t="s">
        <v>1214</v>
      </c>
    </row>
    <row r="34" spans="2:6" ht="20.100000000000001" customHeight="1">
      <c r="B34" s="159" t="s">
        <v>1215</v>
      </c>
      <c r="C34" s="160" t="s">
        <v>1191</v>
      </c>
      <c r="D34" s="160" t="s">
        <v>1174</v>
      </c>
      <c r="E34" s="161" t="s">
        <v>1181</v>
      </c>
      <c r="F34" s="164" t="s">
        <v>1216</v>
      </c>
    </row>
    <row r="35" spans="2:6" ht="20.100000000000001" customHeight="1">
      <c r="B35" s="159" t="s">
        <v>1217</v>
      </c>
      <c r="C35" s="160" t="s">
        <v>1191</v>
      </c>
      <c r="D35" s="160" t="s">
        <v>1174</v>
      </c>
      <c r="E35" s="161" t="s">
        <v>1218</v>
      </c>
      <c r="F35" s="164" t="s">
        <v>1219</v>
      </c>
    </row>
    <row r="36" spans="2:6" ht="20.100000000000001" customHeight="1">
      <c r="B36" s="159" t="s">
        <v>1220</v>
      </c>
      <c r="C36" s="160" t="s">
        <v>1179</v>
      </c>
      <c r="D36" s="160" t="s">
        <v>1165</v>
      </c>
      <c r="E36" s="161" t="s">
        <v>1221</v>
      </c>
      <c r="F36" s="164" t="s">
        <v>1222</v>
      </c>
    </row>
    <row r="37" spans="2:6" ht="20.100000000000001" customHeight="1">
      <c r="B37" s="163" t="s">
        <v>1223</v>
      </c>
      <c r="C37" s="160" t="s">
        <v>1179</v>
      </c>
      <c r="D37" s="160" t="s">
        <v>1165</v>
      </c>
      <c r="E37" s="161" t="s">
        <v>1208</v>
      </c>
      <c r="F37" s="164" t="s">
        <v>1224</v>
      </c>
    </row>
    <row r="38" spans="2:6" ht="16.5">
      <c r="C38" s="155"/>
      <c r="F38" s="76"/>
    </row>
    <row r="39" spans="2:6" ht="13.5" customHeight="1">
      <c r="C39" s="155"/>
      <c r="F39" s="76"/>
    </row>
    <row r="40" spans="2:6" ht="13.5" customHeight="1">
      <c r="C40" s="155"/>
      <c r="F40" s="76"/>
    </row>
    <row r="41" spans="2:6" ht="13.5" customHeight="1">
      <c r="C41" s="155"/>
    </row>
    <row r="42" spans="2:6" ht="13.5" customHeight="1">
      <c r="C42" s="155"/>
    </row>
    <row r="43" spans="2:6" ht="13.5" customHeight="1">
      <c r="C43" s="155"/>
    </row>
    <row r="44" spans="2:6" ht="13.5" customHeight="1">
      <c r="C44" s="155"/>
    </row>
    <row r="45" spans="2:6" ht="13.5" customHeight="1">
      <c r="C45" s="155"/>
    </row>
    <row r="46" spans="2:6" ht="13.5" customHeight="1">
      <c r="C46" s="155"/>
    </row>
    <row r="47" spans="2:6" ht="13.5" customHeight="1">
      <c r="C47" s="155"/>
    </row>
    <row r="48" spans="2:6" ht="13.5" customHeight="1">
      <c r="C48" s="155"/>
    </row>
    <row r="49" spans="3:3" ht="13.5" customHeight="1">
      <c r="C49" s="155"/>
    </row>
    <row r="50" spans="3:3" ht="13.5" customHeight="1">
      <c r="C50" s="155"/>
    </row>
    <row r="51" spans="3:3" ht="13.5" customHeight="1">
      <c r="C51" s="155"/>
    </row>
    <row r="52" spans="3:3" ht="13.5" customHeight="1">
      <c r="C52" s="155"/>
    </row>
    <row r="53" spans="3:3" ht="13.5" customHeight="1">
      <c r="C53" s="155"/>
    </row>
    <row r="54" spans="3:3" ht="13.5" customHeight="1">
      <c r="C54" s="155"/>
    </row>
    <row r="55" spans="3:3" ht="13.5" customHeight="1">
      <c r="C55" s="155"/>
    </row>
    <row r="56" spans="3:3" ht="13.5" customHeight="1">
      <c r="C56" s="155"/>
    </row>
    <row r="57" spans="3:3" ht="13.5" customHeight="1">
      <c r="C57" s="155"/>
    </row>
    <row r="58" spans="3:3" ht="13.5" customHeight="1">
      <c r="C58" s="155"/>
    </row>
    <row r="59" spans="3:3" ht="13.5" customHeight="1">
      <c r="C59" s="155"/>
    </row>
    <row r="60" spans="3:3" ht="13.5" customHeight="1">
      <c r="C60" s="155"/>
    </row>
    <row r="61" spans="3:3" ht="13.5" customHeight="1">
      <c r="C61" s="155"/>
    </row>
    <row r="62" spans="3:3" ht="13.5" customHeight="1">
      <c r="C62" s="155"/>
    </row>
    <row r="63" spans="3:3" ht="13.5" customHeight="1">
      <c r="C63" s="155"/>
    </row>
  </sheetData>
  <phoneticPr fontId="2" type="noConversion"/>
  <dataValidations count="1">
    <dataValidation type="list" allowBlank="1" showInputMessage="1" showErrorMessage="1" sqref="C2" xr:uid="{20DEAC54-6467-449A-826A-5D4F95C3D1C0}">
      <formula1>$B$12:$B$37</formula1>
    </dataValidation>
  </dataValidations>
  <pageMargins left="0.7" right="0.7" top="0.75" bottom="0.75" header="0.3" footer="0.3"/>
  <pageSetup paperSize="9"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D645-7D72-4CCA-9F96-6B5893DD23F4}">
  <dimension ref="A1:Y52"/>
  <sheetViews>
    <sheetView showGridLines="0" workbookViewId="0">
      <selection activeCell="Q4" sqref="Q4"/>
    </sheetView>
  </sheetViews>
  <sheetFormatPr defaultColWidth="10" defaultRowHeight="16.5"/>
  <cols>
    <col min="1" max="1" width="3" style="90" customWidth="1"/>
    <col min="2" max="2" width="9" style="90" customWidth="1"/>
    <col min="3" max="3" width="13.25" style="90" customWidth="1"/>
    <col min="4" max="4" width="14.25" style="90" customWidth="1"/>
    <col min="5" max="7" width="11.625" style="90" customWidth="1"/>
    <col min="8" max="8" width="4.5" style="90" customWidth="1"/>
    <col min="9" max="9" width="14" style="90" customWidth="1"/>
    <col min="10" max="10" width="13.875" style="90" customWidth="1"/>
    <col min="11" max="11" width="7.5" style="90" customWidth="1"/>
    <col min="12" max="12" width="9" customWidth="1"/>
    <col min="13" max="15" width="11.625" customWidth="1"/>
    <col min="16" max="16" width="10" style="90"/>
    <col min="17" max="18" width="16.125" style="90" customWidth="1"/>
    <col min="19" max="16384" width="10" style="90"/>
  </cols>
  <sheetData>
    <row r="1" spans="1:25" s="88" customFormat="1" ht="27" customHeight="1">
      <c r="A1" s="84"/>
      <c r="B1" s="85" t="s">
        <v>1059</v>
      </c>
      <c r="C1" s="86"/>
      <c r="D1" s="87"/>
      <c r="E1" s="87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25" customFormat="1" ht="27" customHeight="1">
      <c r="B2" s="89" t="s">
        <v>1060</v>
      </c>
    </row>
    <row r="3" spans="1:25" ht="23.25" customHeight="1">
      <c r="B3" s="91"/>
    </row>
    <row r="4" spans="1:25" ht="23.25" customHeight="1">
      <c r="B4" s="92" t="s">
        <v>1061</v>
      </c>
      <c r="C4" s="92" t="s">
        <v>1062</v>
      </c>
      <c r="D4" s="92" t="s">
        <v>1063</v>
      </c>
      <c r="E4" s="92" t="s">
        <v>1064</v>
      </c>
      <c r="F4" s="92" t="s">
        <v>1065</v>
      </c>
      <c r="G4" s="92" t="s">
        <v>1066</v>
      </c>
      <c r="I4" s="93" t="s">
        <v>1067</v>
      </c>
      <c r="J4" s="94" t="s">
        <v>1068</v>
      </c>
      <c r="Q4" s="107" t="s">
        <v>1091</v>
      </c>
      <c r="R4" s="108"/>
      <c r="S4" s="108"/>
      <c r="T4" s="108"/>
      <c r="U4" s="108"/>
      <c r="V4" s="108"/>
      <c r="W4" s="108"/>
      <c r="X4" s="108"/>
      <c r="Y4" s="108"/>
    </row>
    <row r="5" spans="1:25" ht="24.95" customHeight="1">
      <c r="B5" s="95">
        <v>1010</v>
      </c>
      <c r="C5" s="96" t="s">
        <v>1069</v>
      </c>
      <c r="D5" s="96" t="s">
        <v>1070</v>
      </c>
      <c r="E5" s="96" t="s">
        <v>1071</v>
      </c>
      <c r="F5" s="97">
        <v>73800</v>
      </c>
      <c r="G5" s="97">
        <v>41000</v>
      </c>
      <c r="I5" s="98" t="s">
        <v>1062</v>
      </c>
      <c r="J5" s="98" t="s">
        <v>1066</v>
      </c>
      <c r="L5" s="99"/>
      <c r="Q5" s="108"/>
      <c r="R5" s="108"/>
      <c r="S5" s="108"/>
      <c r="T5" s="108"/>
      <c r="U5" s="108"/>
      <c r="V5" s="108"/>
      <c r="W5" s="108"/>
      <c r="X5" s="108"/>
      <c r="Y5" s="108"/>
    </row>
    <row r="6" spans="1:25" ht="24.95" customHeight="1">
      <c r="B6" s="95">
        <v>1012</v>
      </c>
      <c r="C6" s="96" t="s">
        <v>1072</v>
      </c>
      <c r="D6" s="96" t="s">
        <v>1073</v>
      </c>
      <c r="E6" s="96" t="s">
        <v>1074</v>
      </c>
      <c r="F6" s="97">
        <v>50000</v>
      </c>
      <c r="G6" s="97">
        <v>49800</v>
      </c>
      <c r="I6" s="100" t="s">
        <v>1075</v>
      </c>
      <c r="J6" s="101" t="s">
        <v>1076</v>
      </c>
      <c r="Q6" s="109" t="s">
        <v>1092</v>
      </c>
      <c r="R6" s="109" t="s">
        <v>1093</v>
      </c>
      <c r="S6" s="108"/>
      <c r="T6" s="108" t="s">
        <v>1094</v>
      </c>
      <c r="U6" s="108"/>
      <c r="V6" s="108"/>
      <c r="W6" s="108"/>
      <c r="X6" s="108"/>
      <c r="Y6" s="108"/>
    </row>
    <row r="7" spans="1:25" ht="24.95" customHeight="1">
      <c r="B7" s="95">
        <v>1014</v>
      </c>
      <c r="C7" s="96" t="s">
        <v>1069</v>
      </c>
      <c r="D7" s="96" t="s">
        <v>1070</v>
      </c>
      <c r="E7" s="96" t="s">
        <v>1071</v>
      </c>
      <c r="F7" s="97">
        <v>41000</v>
      </c>
      <c r="G7" s="97">
        <v>73800</v>
      </c>
      <c r="Q7" s="110" t="s">
        <v>1095</v>
      </c>
      <c r="R7" s="110" t="s">
        <v>1096</v>
      </c>
      <c r="S7" s="108"/>
      <c r="T7" s="108" t="s">
        <v>1097</v>
      </c>
      <c r="U7" s="108"/>
      <c r="V7" s="108"/>
      <c r="W7" s="108"/>
      <c r="X7" s="108"/>
      <c r="Y7" s="108"/>
    </row>
    <row r="8" spans="1:25" ht="24.95" customHeight="1">
      <c r="B8" s="95">
        <v>1015</v>
      </c>
      <c r="C8" s="96" t="s">
        <v>1072</v>
      </c>
      <c r="D8" s="96" t="s">
        <v>1077</v>
      </c>
      <c r="E8" s="96" t="s">
        <v>1074</v>
      </c>
      <c r="F8" s="97">
        <v>41000</v>
      </c>
      <c r="G8" s="97">
        <v>73800</v>
      </c>
      <c r="J8" s="94" t="s">
        <v>1078</v>
      </c>
      <c r="Q8" s="108"/>
      <c r="R8" s="108"/>
      <c r="S8" s="108"/>
      <c r="T8" s="108"/>
      <c r="U8" s="108"/>
      <c r="V8" s="108"/>
      <c r="W8" s="108"/>
      <c r="X8" s="108"/>
      <c r="Y8" s="108"/>
    </row>
    <row r="9" spans="1:25" ht="24.95" customHeight="1">
      <c r="B9" s="95">
        <v>1035</v>
      </c>
      <c r="C9" s="96" t="s">
        <v>1075</v>
      </c>
      <c r="D9" s="96" t="s">
        <v>1079</v>
      </c>
      <c r="E9" s="96" t="s">
        <v>1080</v>
      </c>
      <c r="F9" s="97">
        <v>230000</v>
      </c>
      <c r="G9" s="97">
        <v>221400</v>
      </c>
      <c r="I9" s="102" t="s">
        <v>1062</v>
      </c>
      <c r="J9" s="102" t="s">
        <v>1066</v>
      </c>
      <c r="L9" s="99"/>
      <c r="Q9" s="108"/>
      <c r="R9" s="108"/>
      <c r="S9" s="108"/>
      <c r="T9" s="108"/>
      <c r="U9" s="108"/>
      <c r="V9" s="108"/>
      <c r="W9" s="108"/>
      <c r="X9" s="108"/>
      <c r="Y9" s="108"/>
    </row>
    <row r="10" spans="1:25" ht="24.95" customHeight="1">
      <c r="B10" s="95">
        <v>1045</v>
      </c>
      <c r="C10" s="96" t="s">
        <v>1075</v>
      </c>
      <c r="D10" s="96" t="s">
        <v>1079</v>
      </c>
      <c r="E10" s="96" t="s">
        <v>1080</v>
      </c>
      <c r="F10" s="97">
        <v>123000</v>
      </c>
      <c r="G10" s="97">
        <v>221400</v>
      </c>
      <c r="I10" s="52" t="s">
        <v>1075</v>
      </c>
      <c r="J10" s="103" t="s">
        <v>1076</v>
      </c>
      <c r="Q10" s="109" t="s">
        <v>1092</v>
      </c>
      <c r="R10" s="109" t="s">
        <v>1093</v>
      </c>
      <c r="S10" s="108"/>
      <c r="T10" s="108"/>
      <c r="U10" s="108"/>
      <c r="V10" s="108"/>
      <c r="W10" s="108"/>
      <c r="X10" s="108"/>
      <c r="Y10" s="108"/>
    </row>
    <row r="11" spans="1:25" ht="24.95" customHeight="1">
      <c r="B11" s="95">
        <v>1048</v>
      </c>
      <c r="C11" s="96" t="s">
        <v>1072</v>
      </c>
      <c r="D11" s="96" t="s">
        <v>1073</v>
      </c>
      <c r="E11" s="96" t="s">
        <v>1074</v>
      </c>
      <c r="F11" s="97">
        <v>164000</v>
      </c>
      <c r="G11" s="97">
        <v>295200</v>
      </c>
      <c r="I11" s="52" t="s">
        <v>1081</v>
      </c>
      <c r="J11" s="103" t="s">
        <v>1076</v>
      </c>
      <c r="Q11" s="110" t="s">
        <v>1095</v>
      </c>
      <c r="R11" s="111"/>
      <c r="S11" s="108"/>
      <c r="T11" s="108" t="s">
        <v>1098</v>
      </c>
      <c r="U11" s="108"/>
      <c r="V11" s="108"/>
      <c r="W11" s="108"/>
      <c r="X11" s="108"/>
      <c r="Y11" s="108"/>
    </row>
    <row r="12" spans="1:25" ht="24.95" customHeight="1">
      <c r="B12" s="95">
        <v>1059</v>
      </c>
      <c r="C12" s="96" t="s">
        <v>1069</v>
      </c>
      <c r="D12" s="96" t="s">
        <v>1070</v>
      </c>
      <c r="E12" s="96" t="s">
        <v>1071</v>
      </c>
      <c r="F12" s="97">
        <v>164000</v>
      </c>
      <c r="G12" s="97">
        <v>295200</v>
      </c>
      <c r="Q12" s="111"/>
      <c r="R12" s="110" t="s">
        <v>1096</v>
      </c>
      <c r="S12" s="108"/>
      <c r="T12" s="108" t="s">
        <v>1099</v>
      </c>
      <c r="U12" s="108"/>
      <c r="V12" s="108"/>
      <c r="W12" s="108"/>
      <c r="X12" s="108"/>
      <c r="Y12" s="108"/>
    </row>
    <row r="13" spans="1:25" ht="24.95" customHeight="1">
      <c r="B13" s="95">
        <v>1086</v>
      </c>
      <c r="C13" s="96" t="s">
        <v>1075</v>
      </c>
      <c r="D13" s="96" t="s">
        <v>1082</v>
      </c>
      <c r="E13" s="96" t="s">
        <v>1080</v>
      </c>
      <c r="F13" s="104">
        <v>219760</v>
      </c>
      <c r="G13" s="104">
        <v>395568</v>
      </c>
      <c r="I13" s="105"/>
      <c r="L13" s="99"/>
      <c r="Q13" s="108"/>
      <c r="R13" s="108"/>
      <c r="S13" s="108"/>
      <c r="T13" s="108"/>
      <c r="U13" s="108"/>
      <c r="V13" s="108"/>
      <c r="W13" s="108"/>
      <c r="X13" s="108"/>
      <c r="Y13" s="108"/>
    </row>
    <row r="14" spans="1:25" ht="24.95" customHeight="1">
      <c r="B14" s="95">
        <v>1101</v>
      </c>
      <c r="C14" s="96" t="s">
        <v>1072</v>
      </c>
      <c r="D14" s="96" t="s">
        <v>1077</v>
      </c>
      <c r="E14" s="96" t="s">
        <v>1074</v>
      </c>
      <c r="F14" s="104">
        <v>450000</v>
      </c>
      <c r="G14" s="104">
        <v>445752</v>
      </c>
      <c r="I14" s="106" t="b">
        <f>F5&gt;G5</f>
        <v>1</v>
      </c>
      <c r="L14" s="90"/>
      <c r="Q14" s="108"/>
      <c r="R14" s="108"/>
      <c r="S14" s="108"/>
      <c r="T14" s="108"/>
      <c r="U14" s="108"/>
      <c r="V14" s="108"/>
      <c r="W14" s="108"/>
      <c r="X14" s="108"/>
      <c r="Y14" s="108"/>
    </row>
    <row r="15" spans="1:25" ht="24.95" customHeight="1">
      <c r="B15" s="95">
        <v>1105</v>
      </c>
      <c r="C15" s="96" t="s">
        <v>1081</v>
      </c>
      <c r="D15" s="96" t="s">
        <v>1083</v>
      </c>
      <c r="E15" s="96" t="s">
        <v>1084</v>
      </c>
      <c r="F15" s="104">
        <v>252970</v>
      </c>
      <c r="G15" s="104">
        <v>455346</v>
      </c>
      <c r="Q15" s="109" t="s">
        <v>1100</v>
      </c>
      <c r="R15" s="109" t="s">
        <v>1093</v>
      </c>
      <c r="S15" s="108"/>
      <c r="T15" s="108"/>
      <c r="U15" s="108"/>
      <c r="V15" s="108"/>
      <c r="W15" s="108"/>
      <c r="X15" s="108"/>
      <c r="Y15" s="108"/>
    </row>
    <row r="16" spans="1:25" ht="24.95" customHeight="1">
      <c r="B16" s="95">
        <v>1116</v>
      </c>
      <c r="C16" s="96" t="s">
        <v>1081</v>
      </c>
      <c r="D16" s="96" t="s">
        <v>1083</v>
      </c>
      <c r="E16" s="96" t="s">
        <v>1084</v>
      </c>
      <c r="F16" s="97">
        <v>287000</v>
      </c>
      <c r="G16" s="97">
        <v>516600</v>
      </c>
      <c r="I16" s="98" t="s">
        <v>1062</v>
      </c>
      <c r="J16" s="98" t="s">
        <v>1066</v>
      </c>
      <c r="L16" s="99"/>
      <c r="Q16" s="110" t="s">
        <v>1101</v>
      </c>
      <c r="R16" s="110" t="s">
        <v>1096</v>
      </c>
      <c r="S16" s="108"/>
      <c r="T16" s="108" t="s">
        <v>1102</v>
      </c>
      <c r="U16" s="108"/>
      <c r="V16" s="108"/>
      <c r="W16" s="108"/>
      <c r="X16" s="108"/>
      <c r="Y16" s="108"/>
    </row>
    <row r="17" spans="2:25" ht="24.95" customHeight="1">
      <c r="B17" s="95">
        <v>1130</v>
      </c>
      <c r="C17" s="96" t="s">
        <v>1072</v>
      </c>
      <c r="D17" s="96" t="s">
        <v>1077</v>
      </c>
      <c r="E17" s="96" t="s">
        <v>1074</v>
      </c>
      <c r="F17" s="97">
        <v>287000</v>
      </c>
      <c r="G17" s="97">
        <v>516600</v>
      </c>
      <c r="I17" s="100" t="s">
        <v>1075</v>
      </c>
      <c r="J17" s="101"/>
      <c r="Q17" s="110" t="s">
        <v>1103</v>
      </c>
      <c r="R17" s="110" t="s">
        <v>1104</v>
      </c>
      <c r="S17" s="108"/>
      <c r="T17" s="108" t="s">
        <v>1105</v>
      </c>
      <c r="U17" s="108"/>
      <c r="V17" s="108"/>
      <c r="W17" s="108"/>
      <c r="X17" s="108"/>
      <c r="Y17" s="108"/>
    </row>
    <row r="18" spans="2:25" ht="24.95" customHeight="1">
      <c r="B18" s="95">
        <v>1137</v>
      </c>
      <c r="C18" s="96" t="s">
        <v>1069</v>
      </c>
      <c r="D18" s="96" t="s">
        <v>1070</v>
      </c>
      <c r="E18" s="96" t="s">
        <v>1071</v>
      </c>
      <c r="F18" s="97">
        <v>323490</v>
      </c>
      <c r="G18" s="97">
        <v>582282</v>
      </c>
      <c r="I18" s="52" t="s">
        <v>1081</v>
      </c>
      <c r="J18" s="103" t="s">
        <v>1076</v>
      </c>
      <c r="L18" s="90"/>
      <c r="Q18" s="108"/>
      <c r="R18" s="108"/>
      <c r="S18" s="108"/>
      <c r="T18" s="108"/>
      <c r="U18" s="108"/>
      <c r="V18" s="108"/>
      <c r="W18" s="108"/>
      <c r="X18" s="108"/>
      <c r="Y18" s="108"/>
    </row>
    <row r="19" spans="2:25" ht="24.95" customHeight="1">
      <c r="B19" s="95">
        <v>1160</v>
      </c>
      <c r="C19" s="96" t="s">
        <v>1081</v>
      </c>
      <c r="D19" s="96" t="s">
        <v>1083</v>
      </c>
      <c r="E19" s="96" t="s">
        <v>1084</v>
      </c>
      <c r="F19" s="97">
        <v>328000</v>
      </c>
      <c r="G19" s="97">
        <v>590400</v>
      </c>
      <c r="Q19" s="108"/>
      <c r="R19" s="108"/>
      <c r="S19" s="108"/>
      <c r="T19" s="108"/>
      <c r="U19" s="108"/>
      <c r="V19" s="108"/>
      <c r="W19" s="108"/>
      <c r="X19" s="108"/>
      <c r="Y19" s="108"/>
    </row>
    <row r="20" spans="2:25" ht="24.95" customHeight="1">
      <c r="B20" s="95">
        <v>1190</v>
      </c>
      <c r="C20" s="96" t="s">
        <v>1081</v>
      </c>
      <c r="D20" s="96" t="s">
        <v>1083</v>
      </c>
      <c r="E20" s="96" t="s">
        <v>1084</v>
      </c>
      <c r="F20" s="104">
        <v>391960</v>
      </c>
      <c r="G20" s="104">
        <v>705528</v>
      </c>
      <c r="I20" s="98" t="s">
        <v>1064</v>
      </c>
      <c r="J20" s="98" t="s">
        <v>1065</v>
      </c>
      <c r="L20" s="99"/>
      <c r="Q20" s="112" t="s">
        <v>1106</v>
      </c>
      <c r="R20" s="112" t="s">
        <v>1106</v>
      </c>
      <c r="S20" s="108"/>
      <c r="T20" s="108"/>
      <c r="U20" s="108"/>
      <c r="V20" s="108"/>
      <c r="W20" s="108"/>
      <c r="X20" s="108"/>
      <c r="Y20" s="108"/>
    </row>
    <row r="21" spans="2:25" ht="24.95" customHeight="1">
      <c r="B21" s="95">
        <v>1191</v>
      </c>
      <c r="C21" s="96" t="s">
        <v>1069</v>
      </c>
      <c r="D21" s="96" t="s">
        <v>1070</v>
      </c>
      <c r="E21" s="96" t="s">
        <v>1071</v>
      </c>
      <c r="F21" s="97">
        <v>398930</v>
      </c>
      <c r="G21" s="97">
        <v>380000</v>
      </c>
      <c r="I21" s="96" t="s">
        <v>1074</v>
      </c>
      <c r="J21" s="101"/>
      <c r="Q21" s="113" t="s">
        <v>1107</v>
      </c>
      <c r="R21" s="113" t="s">
        <v>1108</v>
      </c>
      <c r="S21" s="108"/>
      <c r="T21" s="108" t="s">
        <v>1109</v>
      </c>
      <c r="U21" s="108"/>
      <c r="V21" s="108"/>
      <c r="W21" s="108"/>
      <c r="X21" s="108"/>
      <c r="Y21" s="108"/>
    </row>
    <row r="22" spans="2:25" ht="24.95" customHeight="1">
      <c r="B22" s="95">
        <v>1194</v>
      </c>
      <c r="C22" s="96" t="s">
        <v>1081</v>
      </c>
      <c r="D22" s="96" t="s">
        <v>1083</v>
      </c>
      <c r="E22" s="96" t="s">
        <v>1084</v>
      </c>
      <c r="F22" s="104">
        <v>408360</v>
      </c>
      <c r="G22" s="104">
        <v>735048</v>
      </c>
      <c r="I22" s="52"/>
      <c r="J22" s="97">
        <v>41000</v>
      </c>
      <c r="L22" s="90"/>
    </row>
    <row r="23" spans="2:25" ht="24.95" customHeight="1">
      <c r="B23" s="95">
        <v>1230</v>
      </c>
      <c r="C23" s="96" t="s">
        <v>1085</v>
      </c>
      <c r="D23" s="96" t="s">
        <v>1086</v>
      </c>
      <c r="E23" s="96" t="s">
        <v>1080</v>
      </c>
      <c r="F23" s="104">
        <v>454280</v>
      </c>
      <c r="G23" s="104">
        <v>817704</v>
      </c>
    </row>
    <row r="24" spans="2:25" ht="24.95" customHeight="1">
      <c r="B24" s="95">
        <v>1234</v>
      </c>
      <c r="C24" s="96" t="s">
        <v>1072</v>
      </c>
      <c r="D24" s="96" t="s">
        <v>1073</v>
      </c>
      <c r="E24" s="96" t="s">
        <v>1074</v>
      </c>
      <c r="F24" s="104">
        <v>464940</v>
      </c>
      <c r="G24" s="104">
        <v>836892</v>
      </c>
    </row>
    <row r="25" spans="2:25" ht="24.95" customHeight="1">
      <c r="B25" s="95">
        <v>1239</v>
      </c>
      <c r="C25" s="96" t="s">
        <v>1072</v>
      </c>
      <c r="D25" s="96" t="s">
        <v>1077</v>
      </c>
      <c r="E25" s="96" t="s">
        <v>1074</v>
      </c>
      <c r="F25" s="104">
        <v>485030</v>
      </c>
      <c r="G25" s="104">
        <v>873054</v>
      </c>
    </row>
    <row r="26" spans="2:25" ht="24.95" customHeight="1">
      <c r="B26" s="95">
        <v>1261</v>
      </c>
      <c r="C26" s="96" t="s">
        <v>1087</v>
      </c>
      <c r="D26" s="96" t="s">
        <v>1070</v>
      </c>
      <c r="E26" s="96" t="s">
        <v>1071</v>
      </c>
      <c r="F26" s="104">
        <v>494870</v>
      </c>
      <c r="G26" s="104">
        <v>890766</v>
      </c>
    </row>
    <row r="27" spans="2:25" ht="24.95" customHeight="1">
      <c r="B27" s="95">
        <v>1270</v>
      </c>
      <c r="C27" s="96" t="s">
        <v>1085</v>
      </c>
      <c r="D27" s="96" t="s">
        <v>1088</v>
      </c>
      <c r="E27" s="96" t="s">
        <v>1080</v>
      </c>
      <c r="F27" s="104">
        <v>518650</v>
      </c>
      <c r="G27" s="104">
        <v>933570</v>
      </c>
    </row>
    <row r="28" spans="2:25" ht="24.95" customHeight="1">
      <c r="B28" s="95">
        <v>1288</v>
      </c>
      <c r="C28" s="96" t="s">
        <v>1081</v>
      </c>
      <c r="D28" s="96" t="s">
        <v>1083</v>
      </c>
      <c r="E28" s="96" t="s">
        <v>1084</v>
      </c>
      <c r="F28" s="104">
        <v>553090</v>
      </c>
      <c r="G28" s="104">
        <v>995562</v>
      </c>
    </row>
    <row r="29" spans="2:25" ht="24.95" customHeight="1">
      <c r="B29" s="95">
        <v>1312</v>
      </c>
      <c r="C29" s="96" t="s">
        <v>1072</v>
      </c>
      <c r="D29" s="96" t="s">
        <v>1073</v>
      </c>
      <c r="E29" s="96" t="s">
        <v>1074</v>
      </c>
      <c r="F29" s="97">
        <v>615000</v>
      </c>
      <c r="G29" s="97">
        <v>1107000</v>
      </c>
    </row>
    <row r="30" spans="2:25" ht="24.95" customHeight="1">
      <c r="B30" s="95">
        <v>1314</v>
      </c>
      <c r="C30" s="96" t="s">
        <v>1072</v>
      </c>
      <c r="D30" s="96" t="s">
        <v>1073</v>
      </c>
      <c r="E30" s="96" t="s">
        <v>1074</v>
      </c>
      <c r="F30" s="97">
        <v>650000</v>
      </c>
      <c r="G30" s="97">
        <v>1070000</v>
      </c>
    </row>
    <row r="31" spans="2:25" ht="24.95" customHeight="1">
      <c r="B31" s="95">
        <v>1318</v>
      </c>
      <c r="C31" s="96" t="s">
        <v>1081</v>
      </c>
      <c r="D31" s="96" t="s">
        <v>1083</v>
      </c>
      <c r="E31" s="96" t="s">
        <v>1084</v>
      </c>
      <c r="F31" s="97">
        <v>505000</v>
      </c>
      <c r="G31" s="97">
        <v>500000</v>
      </c>
    </row>
    <row r="32" spans="2:25" ht="24.95" customHeight="1">
      <c r="B32" s="95">
        <v>1319</v>
      </c>
      <c r="C32" s="96" t="s">
        <v>1081</v>
      </c>
      <c r="D32" s="96" t="s">
        <v>1083</v>
      </c>
      <c r="E32" s="96" t="s">
        <v>1084</v>
      </c>
      <c r="F32" s="97">
        <v>615000</v>
      </c>
      <c r="G32" s="97">
        <v>516600</v>
      </c>
    </row>
    <row r="33" spans="2:7" ht="24.95" customHeight="1">
      <c r="B33" s="95">
        <v>1321</v>
      </c>
      <c r="C33" s="96" t="s">
        <v>1069</v>
      </c>
      <c r="D33" s="96" t="s">
        <v>1070</v>
      </c>
      <c r="E33" s="96" t="s">
        <v>1071</v>
      </c>
      <c r="F33" s="97">
        <v>615000</v>
      </c>
      <c r="G33" s="97">
        <v>1107000</v>
      </c>
    </row>
    <row r="34" spans="2:7" ht="24.95" customHeight="1">
      <c r="B34" s="95">
        <v>1329</v>
      </c>
      <c r="C34" s="96" t="s">
        <v>1085</v>
      </c>
      <c r="D34" s="96" t="s">
        <v>1089</v>
      </c>
      <c r="E34" s="96" t="s">
        <v>1080</v>
      </c>
      <c r="F34" s="104">
        <v>633450</v>
      </c>
      <c r="G34" s="104">
        <v>1140210</v>
      </c>
    </row>
    <row r="35" spans="2:7" ht="24.95" customHeight="1">
      <c r="B35" s="95">
        <v>1339</v>
      </c>
      <c r="C35" s="96" t="s">
        <v>1069</v>
      </c>
      <c r="D35" s="96" t="s">
        <v>1070</v>
      </c>
      <c r="E35" s="96" t="s">
        <v>1071</v>
      </c>
      <c r="F35" s="97">
        <v>656000</v>
      </c>
      <c r="G35" s="97">
        <v>1180800</v>
      </c>
    </row>
    <row r="36" spans="2:7" ht="24.95" customHeight="1">
      <c r="B36" s="95">
        <v>1350</v>
      </c>
      <c r="C36" s="96" t="s">
        <v>1081</v>
      </c>
      <c r="D36" s="96" t="s">
        <v>1083</v>
      </c>
      <c r="E36" s="96" t="s">
        <v>1084</v>
      </c>
      <c r="F36" s="104">
        <v>688800</v>
      </c>
      <c r="G36" s="104">
        <v>1239840</v>
      </c>
    </row>
    <row r="37" spans="2:7" ht="24.95" customHeight="1">
      <c r="B37" s="95">
        <v>1368</v>
      </c>
      <c r="C37" s="96" t="s">
        <v>1081</v>
      </c>
      <c r="D37" s="96" t="s">
        <v>1083</v>
      </c>
      <c r="E37" s="96" t="s">
        <v>1084</v>
      </c>
      <c r="F37" s="104">
        <v>725700</v>
      </c>
      <c r="G37" s="104">
        <v>1306260</v>
      </c>
    </row>
    <row r="38" spans="2:7" ht="24.95" customHeight="1">
      <c r="B38" s="95">
        <v>1370</v>
      </c>
      <c r="C38" s="96" t="s">
        <v>1072</v>
      </c>
      <c r="D38" s="96" t="s">
        <v>1077</v>
      </c>
      <c r="E38" s="96" t="s">
        <v>1074</v>
      </c>
      <c r="F38" s="97">
        <v>738000</v>
      </c>
      <c r="G38" s="97">
        <v>1328400</v>
      </c>
    </row>
    <row r="39" spans="2:7" ht="24.95" customHeight="1">
      <c r="B39" s="95">
        <v>1386</v>
      </c>
      <c r="C39" s="96" t="s">
        <v>1075</v>
      </c>
      <c r="D39" s="96" t="s">
        <v>1086</v>
      </c>
      <c r="E39" s="96" t="s">
        <v>1080</v>
      </c>
      <c r="F39" s="97">
        <v>741690</v>
      </c>
      <c r="G39" s="97">
        <v>1335042</v>
      </c>
    </row>
    <row r="40" spans="2:7" ht="24.95" customHeight="1">
      <c r="B40" s="95">
        <v>1390</v>
      </c>
      <c r="C40" s="96" t="s">
        <v>1072</v>
      </c>
      <c r="D40" s="96" t="s">
        <v>1077</v>
      </c>
      <c r="E40" s="96" t="s">
        <v>1074</v>
      </c>
      <c r="F40" s="104">
        <v>754400</v>
      </c>
      <c r="G40" s="104">
        <v>1357920</v>
      </c>
    </row>
    <row r="41" spans="2:7" ht="24.95" customHeight="1">
      <c r="B41" s="95">
        <v>1401</v>
      </c>
      <c r="C41" s="96" t="s">
        <v>1087</v>
      </c>
      <c r="D41" s="96" t="s">
        <v>1070</v>
      </c>
      <c r="E41" s="96" t="s">
        <v>1071</v>
      </c>
      <c r="F41" s="97">
        <v>779000</v>
      </c>
      <c r="G41" s="97">
        <v>1402200</v>
      </c>
    </row>
    <row r="42" spans="2:7" ht="24.95" customHeight="1">
      <c r="B42" s="95">
        <v>1402</v>
      </c>
      <c r="C42" s="96" t="s">
        <v>1081</v>
      </c>
      <c r="D42" s="96" t="s">
        <v>1083</v>
      </c>
      <c r="E42" s="96" t="s">
        <v>1084</v>
      </c>
      <c r="F42" s="97">
        <v>820000</v>
      </c>
      <c r="G42" s="97">
        <v>980000</v>
      </c>
    </row>
    <row r="43" spans="2:7" ht="24.95" customHeight="1">
      <c r="B43" s="95">
        <v>1403</v>
      </c>
      <c r="C43" s="96" t="s">
        <v>1081</v>
      </c>
      <c r="D43" s="96" t="s">
        <v>1083</v>
      </c>
      <c r="E43" s="96" t="s">
        <v>1084</v>
      </c>
      <c r="F43" s="97">
        <v>779000</v>
      </c>
      <c r="G43" s="97">
        <v>402200</v>
      </c>
    </row>
    <row r="44" spans="2:7" ht="24.95" customHeight="1">
      <c r="B44" s="95">
        <v>1416</v>
      </c>
      <c r="C44" s="96" t="s">
        <v>1081</v>
      </c>
      <c r="D44" s="96" t="s">
        <v>1083</v>
      </c>
      <c r="E44" s="96" t="s">
        <v>1084</v>
      </c>
      <c r="F44" s="104">
        <v>808930</v>
      </c>
      <c r="G44" s="104">
        <v>1456074</v>
      </c>
    </row>
    <row r="45" spans="2:7" ht="24.95" customHeight="1">
      <c r="B45" s="95">
        <v>1417</v>
      </c>
      <c r="C45" s="96" t="s">
        <v>1085</v>
      </c>
      <c r="D45" s="96" t="s">
        <v>1090</v>
      </c>
      <c r="E45" s="96" t="s">
        <v>1080</v>
      </c>
      <c r="F45" s="104">
        <v>810980</v>
      </c>
      <c r="G45" s="104">
        <v>1459764</v>
      </c>
    </row>
    <row r="46" spans="2:7" ht="24.95" customHeight="1">
      <c r="B46" s="95">
        <v>1418</v>
      </c>
      <c r="C46" s="96" t="s">
        <v>1081</v>
      </c>
      <c r="D46" s="96" t="s">
        <v>1083</v>
      </c>
      <c r="E46" s="96" t="s">
        <v>1084</v>
      </c>
      <c r="F46" s="104">
        <v>786000</v>
      </c>
      <c r="G46" s="104">
        <v>694200</v>
      </c>
    </row>
    <row r="47" spans="2:7" ht="24.95" customHeight="1">
      <c r="B47" s="95">
        <v>1431</v>
      </c>
      <c r="C47" s="96" t="s">
        <v>1081</v>
      </c>
      <c r="D47" s="96" t="s">
        <v>1083</v>
      </c>
      <c r="E47" s="96" t="s">
        <v>1084</v>
      </c>
      <c r="F47" s="97">
        <v>943000</v>
      </c>
      <c r="G47" s="97">
        <v>1697400</v>
      </c>
    </row>
    <row r="48" spans="2:7" ht="24.95" customHeight="1">
      <c r="B48" s="95">
        <v>1432</v>
      </c>
      <c r="C48" s="96" t="s">
        <v>1081</v>
      </c>
      <c r="D48" s="96" t="s">
        <v>1083</v>
      </c>
      <c r="E48" s="96" t="s">
        <v>1084</v>
      </c>
      <c r="F48" s="97">
        <v>1025000</v>
      </c>
      <c r="G48" s="97">
        <v>1845000</v>
      </c>
    </row>
    <row r="49" spans="2:7" ht="24.95" customHeight="1">
      <c r="B49" s="95">
        <v>1433</v>
      </c>
      <c r="C49" s="96" t="s">
        <v>1081</v>
      </c>
      <c r="D49" s="96" t="s">
        <v>1083</v>
      </c>
      <c r="E49" s="96" t="s">
        <v>1084</v>
      </c>
      <c r="F49" s="97">
        <v>615000</v>
      </c>
      <c r="G49" s="97">
        <v>507000</v>
      </c>
    </row>
    <row r="50" spans="2:7" ht="24.95" customHeight="1">
      <c r="B50" s="95">
        <v>1446</v>
      </c>
      <c r="C50" s="96" t="s">
        <v>1087</v>
      </c>
      <c r="D50" s="96" t="s">
        <v>1070</v>
      </c>
      <c r="E50" s="96" t="s">
        <v>1071</v>
      </c>
      <c r="F50" s="97">
        <v>640420</v>
      </c>
      <c r="G50" s="97">
        <v>1152756</v>
      </c>
    </row>
    <row r="51" spans="2:7" ht="24.95" customHeight="1">
      <c r="B51" s="95">
        <v>1447</v>
      </c>
      <c r="C51" s="96" t="s">
        <v>1087</v>
      </c>
      <c r="D51" s="96" t="s">
        <v>1070</v>
      </c>
      <c r="E51" s="96" t="s">
        <v>1071</v>
      </c>
      <c r="F51" s="104">
        <v>640830</v>
      </c>
      <c r="G51" s="104">
        <v>1153494</v>
      </c>
    </row>
    <row r="52" spans="2:7" ht="24.95" customHeight="1">
      <c r="B52" s="95">
        <v>1448</v>
      </c>
      <c r="C52" s="96" t="s">
        <v>1085</v>
      </c>
      <c r="D52" s="96" t="s">
        <v>1090</v>
      </c>
      <c r="E52" s="96" t="s">
        <v>1080</v>
      </c>
      <c r="F52" s="104">
        <v>642880</v>
      </c>
      <c r="G52" s="104">
        <v>1157184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7A54-A2A6-441D-A7E8-6C721E794C3E}">
  <dimension ref="B1:P118"/>
  <sheetViews>
    <sheetView showGridLines="0" tabSelected="1" workbookViewId="0">
      <selection activeCell="G13" sqref="G13"/>
    </sheetView>
  </sheetViews>
  <sheetFormatPr defaultColWidth="9" defaultRowHeight="15" customHeight="1"/>
  <cols>
    <col min="1" max="1" width="2.625" style="116" customWidth="1"/>
    <col min="2" max="2" width="9.25" style="116" customWidth="1"/>
    <col min="3" max="4" width="11.625" style="116" customWidth="1"/>
    <col min="5" max="5" width="15.25" style="116" customWidth="1"/>
    <col min="6" max="7" width="15.625" style="116" customWidth="1"/>
    <col min="8" max="8" width="14.75" style="116" customWidth="1"/>
    <col min="9" max="9" width="15.625" style="116" customWidth="1"/>
    <col min="10" max="16384" width="9" style="116"/>
  </cols>
  <sheetData>
    <row r="1" spans="2:16" s="115" customFormat="1" ht="22.5" customHeight="1">
      <c r="B1" s="114" t="s">
        <v>1110</v>
      </c>
    </row>
    <row r="3" spans="2:16" ht="21" customHeight="1">
      <c r="B3"/>
      <c r="F3" s="117" t="s">
        <v>1111</v>
      </c>
      <c r="G3" s="117" t="s">
        <v>1112</v>
      </c>
      <c r="H3" s="117" t="s">
        <v>1113</v>
      </c>
      <c r="I3" s="117" t="s">
        <v>1114</v>
      </c>
      <c r="K3" s="140" t="s">
        <v>1131</v>
      </c>
      <c r="L3" s="141" t="s">
        <v>1132</v>
      </c>
      <c r="M3" s="141"/>
      <c r="N3" s="142"/>
      <c r="O3" s="143"/>
      <c r="P3" s="143"/>
    </row>
    <row r="4" spans="2:16" ht="21" customHeight="1">
      <c r="B4"/>
      <c r="F4" s="118">
        <f>COUNTA(I11:I110)</f>
        <v>100</v>
      </c>
      <c r="G4" s="118">
        <f>SUM(I11:I110)</f>
        <v>174179000</v>
      </c>
      <c r="H4" s="118">
        <f>AVERAGE(I11:I110)</f>
        <v>1741790</v>
      </c>
      <c r="I4" s="118">
        <f>MAX(I11:I110)</f>
        <v>4332800</v>
      </c>
      <c r="K4" s="140">
        <v>1</v>
      </c>
      <c r="L4" s="144" t="s">
        <v>1133</v>
      </c>
      <c r="M4" s="144" t="s">
        <v>1134</v>
      </c>
      <c r="N4" s="142"/>
      <c r="O4" s="143"/>
      <c r="P4" s="143"/>
    </row>
    <row r="5" spans="2:16" ht="21" customHeight="1">
      <c r="B5"/>
      <c r="F5" s="119">
        <f>SUBTOTAL(102,I11:I110)</f>
        <v>100</v>
      </c>
      <c r="G5" s="119">
        <f>SUBTOTAL(109,I11:I110)</f>
        <v>174179000</v>
      </c>
      <c r="H5" s="119">
        <f>SUBTOTAL(101,I11:I110)</f>
        <v>1741790</v>
      </c>
      <c r="I5" s="119">
        <f>SUBTOTAL(104,I11:I110)</f>
        <v>4332800</v>
      </c>
      <c r="K5" s="140">
        <v>2</v>
      </c>
      <c r="L5" s="144" t="s">
        <v>1135</v>
      </c>
      <c r="M5" s="144" t="s">
        <v>1136</v>
      </c>
      <c r="N5" s="142"/>
      <c r="O5" s="143"/>
      <c r="P5" s="143"/>
    </row>
    <row r="6" spans="2:16" s="8" customFormat="1" ht="21" customHeight="1">
      <c r="K6" s="140">
        <v>3</v>
      </c>
      <c r="L6" s="144" t="s">
        <v>1137</v>
      </c>
      <c r="M6" s="144" t="s">
        <v>1138</v>
      </c>
      <c r="N6" s="142"/>
      <c r="O6" s="143"/>
      <c r="P6" s="145"/>
    </row>
    <row r="7" spans="2:16" s="8" customFormat="1" ht="21.95" customHeight="1">
      <c r="B7"/>
      <c r="C7"/>
      <c r="D7"/>
      <c r="E7"/>
      <c r="F7" s="181" t="s">
        <v>1155</v>
      </c>
      <c r="G7" s="181"/>
      <c r="H7" s="181"/>
      <c r="I7" s="181"/>
      <c r="K7" s="140">
        <v>4</v>
      </c>
      <c r="L7" s="144" t="s">
        <v>1139</v>
      </c>
      <c r="M7" s="144" t="s">
        <v>1140</v>
      </c>
      <c r="N7" s="142"/>
      <c r="O7" s="143"/>
      <c r="P7" s="143"/>
    </row>
    <row r="8" spans="2:16" ht="21.95" customHeight="1">
      <c r="B8"/>
      <c r="C8"/>
      <c r="D8"/>
      <c r="E8"/>
      <c r="K8" s="140">
        <v>5</v>
      </c>
      <c r="L8" s="144" t="s">
        <v>1141</v>
      </c>
      <c r="M8" s="144" t="s">
        <v>1142</v>
      </c>
      <c r="N8" s="142"/>
      <c r="O8" s="143"/>
      <c r="P8" s="143"/>
    </row>
    <row r="9" spans="2:16" ht="21.95" customHeight="1">
      <c r="B9" s="120"/>
      <c r="C9" s="120"/>
      <c r="D9" s="120"/>
      <c r="E9" s="120"/>
      <c r="K9" s="140">
        <v>6</v>
      </c>
      <c r="L9" s="144" t="s">
        <v>1143</v>
      </c>
      <c r="M9" s="144" t="s">
        <v>1144</v>
      </c>
      <c r="N9" s="142"/>
      <c r="O9" s="143"/>
      <c r="P9" s="143"/>
    </row>
    <row r="10" spans="2:16" ht="21.95" customHeight="1">
      <c r="B10" s="121" t="s">
        <v>1115</v>
      </c>
      <c r="C10" s="122" t="s">
        <v>1116</v>
      </c>
      <c r="D10" s="122" t="s">
        <v>1117</v>
      </c>
      <c r="E10" s="123" t="s">
        <v>1118</v>
      </c>
      <c r="F10" s="123" t="s">
        <v>1119</v>
      </c>
      <c r="G10" s="123" t="s">
        <v>1120</v>
      </c>
      <c r="H10" s="123" t="s">
        <v>1121</v>
      </c>
      <c r="I10" s="124" t="s">
        <v>1122</v>
      </c>
      <c r="K10" s="140">
        <v>7</v>
      </c>
      <c r="L10" s="144" t="s">
        <v>1145</v>
      </c>
      <c r="M10" s="144" t="s">
        <v>1146</v>
      </c>
      <c r="N10" s="142"/>
      <c r="O10" s="143"/>
      <c r="P10" s="143"/>
    </row>
    <row r="11" spans="2:16" ht="21.95" customHeight="1">
      <c r="B11" s="125">
        <f>SUBTOTAL(3,$F$11:F11)+0</f>
        <v>1</v>
      </c>
      <c r="C11" s="126">
        <v>45111</v>
      </c>
      <c r="D11" s="127">
        <v>3</v>
      </c>
      <c r="E11" s="128">
        <v>7</v>
      </c>
      <c r="F11" s="129" t="s">
        <v>1123</v>
      </c>
      <c r="G11" s="130">
        <v>64300</v>
      </c>
      <c r="H11" s="130">
        <v>20</v>
      </c>
      <c r="I11" s="131">
        <f t="shared" ref="I11:I74" si="0">G11*H11</f>
        <v>1286000</v>
      </c>
      <c r="K11" s="140">
        <v>8</v>
      </c>
      <c r="L11" s="144" t="s">
        <v>1147</v>
      </c>
      <c r="M11" s="144" t="s">
        <v>1148</v>
      </c>
      <c r="N11" s="142"/>
      <c r="O11" s="143"/>
      <c r="P11" s="143"/>
    </row>
    <row r="12" spans="2:16" ht="21.95" customHeight="1">
      <c r="B12" s="125">
        <f>SUBTOTAL(3,$F$11:F12)+0</f>
        <v>2</v>
      </c>
      <c r="C12" s="126">
        <v>45112</v>
      </c>
      <c r="D12" s="132">
        <v>3</v>
      </c>
      <c r="E12" s="128">
        <v>7</v>
      </c>
      <c r="F12" s="129" t="s">
        <v>1123</v>
      </c>
      <c r="G12" s="130">
        <v>33400</v>
      </c>
      <c r="H12" s="130">
        <v>45</v>
      </c>
      <c r="I12" s="131">
        <f t="shared" si="0"/>
        <v>1503000</v>
      </c>
      <c r="K12" s="140">
        <v>9</v>
      </c>
      <c r="L12" s="144" t="s">
        <v>1149</v>
      </c>
      <c r="M12" s="144" t="s">
        <v>1150</v>
      </c>
      <c r="N12" s="142"/>
      <c r="O12" s="143"/>
      <c r="P12" s="143"/>
    </row>
    <row r="13" spans="2:16" ht="21.95" customHeight="1">
      <c r="B13" s="125">
        <f>SUBTOTAL(3,$F$11:F13)+0</f>
        <v>3</v>
      </c>
      <c r="C13" s="126">
        <v>45114</v>
      </c>
      <c r="D13" s="132">
        <v>3</v>
      </c>
      <c r="E13" s="128">
        <v>7</v>
      </c>
      <c r="F13" s="129" t="s">
        <v>1124</v>
      </c>
      <c r="G13" s="130">
        <v>34200</v>
      </c>
      <c r="H13" s="130">
        <v>20</v>
      </c>
      <c r="I13" s="131">
        <f t="shared" si="0"/>
        <v>684000</v>
      </c>
      <c r="K13" s="140">
        <v>10</v>
      </c>
      <c r="L13" s="144" t="s">
        <v>1151</v>
      </c>
      <c r="M13" s="144" t="s">
        <v>1152</v>
      </c>
      <c r="N13" s="142"/>
      <c r="O13" s="143"/>
      <c r="P13" s="143"/>
    </row>
    <row r="14" spans="2:16" ht="21.95" customHeight="1">
      <c r="B14" s="125">
        <f>SUBTOTAL(3,$F$11:F14)+0</f>
        <v>4</v>
      </c>
      <c r="C14" s="126">
        <v>45121</v>
      </c>
      <c r="D14" s="132">
        <v>3</v>
      </c>
      <c r="E14" s="128">
        <v>7</v>
      </c>
      <c r="F14" s="129" t="s">
        <v>1124</v>
      </c>
      <c r="G14" s="130">
        <v>36600</v>
      </c>
      <c r="H14" s="130">
        <v>45</v>
      </c>
      <c r="I14" s="131">
        <f t="shared" si="0"/>
        <v>1647000</v>
      </c>
      <c r="K14" s="140">
        <v>11</v>
      </c>
      <c r="L14" s="144" t="s">
        <v>1153</v>
      </c>
      <c r="M14" s="144" t="s">
        <v>1154</v>
      </c>
      <c r="N14" s="142"/>
      <c r="O14" s="143"/>
      <c r="P14" s="143"/>
    </row>
    <row r="15" spans="2:16" ht="21.95" customHeight="1">
      <c r="B15" s="125">
        <f>SUBTOTAL(3,$F$11:F15)+0</f>
        <v>5</v>
      </c>
      <c r="C15" s="126">
        <v>45125</v>
      </c>
      <c r="D15" s="132">
        <v>3</v>
      </c>
      <c r="E15" s="128">
        <v>7</v>
      </c>
      <c r="F15" s="129" t="s">
        <v>1124</v>
      </c>
      <c r="G15" s="130">
        <v>48900</v>
      </c>
      <c r="H15" s="130">
        <v>7</v>
      </c>
      <c r="I15" s="131">
        <f t="shared" si="0"/>
        <v>342300</v>
      </c>
    </row>
    <row r="16" spans="2:16" ht="21.95" customHeight="1">
      <c r="B16" s="125">
        <f>SUBTOTAL(3,$F$11:F16)+0</f>
        <v>6</v>
      </c>
      <c r="C16" s="126">
        <v>45125</v>
      </c>
      <c r="D16" s="132">
        <v>3</v>
      </c>
      <c r="E16" s="128">
        <v>7</v>
      </c>
      <c r="F16" s="129" t="s">
        <v>1124</v>
      </c>
      <c r="G16" s="130">
        <v>41300</v>
      </c>
      <c r="H16" s="130">
        <v>26</v>
      </c>
      <c r="I16" s="131">
        <f t="shared" si="0"/>
        <v>1073800</v>
      </c>
    </row>
    <row r="17" spans="2:9" ht="21.95" customHeight="1">
      <c r="B17" s="125">
        <f>SUBTOTAL(3,$F$11:F17)+0</f>
        <v>7</v>
      </c>
      <c r="C17" s="126">
        <v>45125</v>
      </c>
      <c r="D17" s="132">
        <v>3</v>
      </c>
      <c r="E17" s="128">
        <v>7</v>
      </c>
      <c r="F17" s="129" t="s">
        <v>1124</v>
      </c>
      <c r="G17" s="130">
        <v>34200</v>
      </c>
      <c r="H17" s="130">
        <v>28</v>
      </c>
      <c r="I17" s="131">
        <f t="shared" si="0"/>
        <v>957600</v>
      </c>
    </row>
    <row r="18" spans="2:9" ht="21.95" customHeight="1">
      <c r="B18" s="125">
        <f>SUBTOTAL(3,$F$11:F18)+0</f>
        <v>8</v>
      </c>
      <c r="C18" s="126">
        <v>45128</v>
      </c>
      <c r="D18" s="132">
        <v>3</v>
      </c>
      <c r="E18" s="128">
        <v>7</v>
      </c>
      <c r="F18" s="129" t="s">
        <v>1124</v>
      </c>
      <c r="G18" s="130">
        <v>34500</v>
      </c>
      <c r="H18" s="130">
        <v>10</v>
      </c>
      <c r="I18" s="131">
        <f t="shared" si="0"/>
        <v>345000</v>
      </c>
    </row>
    <row r="19" spans="2:9" ht="21.95" customHeight="1">
      <c r="B19" s="125">
        <f>SUBTOTAL(3,$F$11:F19)+0</f>
        <v>9</v>
      </c>
      <c r="C19" s="126">
        <v>45128</v>
      </c>
      <c r="D19" s="132">
        <v>3</v>
      </c>
      <c r="E19" s="128">
        <v>7</v>
      </c>
      <c r="F19" s="129" t="s">
        <v>1124</v>
      </c>
      <c r="G19" s="130">
        <v>34200</v>
      </c>
      <c r="H19" s="130">
        <v>54</v>
      </c>
      <c r="I19" s="131">
        <f t="shared" si="0"/>
        <v>1846800</v>
      </c>
    </row>
    <row r="20" spans="2:9" ht="21.95" customHeight="1">
      <c r="B20" s="125">
        <f>SUBTOTAL(3,$F$11:F20)+0</f>
        <v>10</v>
      </c>
      <c r="C20" s="126">
        <v>45130</v>
      </c>
      <c r="D20" s="132">
        <v>3</v>
      </c>
      <c r="E20" s="128">
        <v>7</v>
      </c>
      <c r="F20" s="129" t="s">
        <v>1124</v>
      </c>
      <c r="G20" s="130">
        <v>33600</v>
      </c>
      <c r="H20" s="130">
        <v>12</v>
      </c>
      <c r="I20" s="131">
        <f t="shared" si="0"/>
        <v>403200</v>
      </c>
    </row>
    <row r="21" spans="2:9" ht="21.95" customHeight="1">
      <c r="B21" s="125">
        <f>SUBTOTAL(3,$F$11:F21)+0</f>
        <v>11</v>
      </c>
      <c r="C21" s="126">
        <v>45135</v>
      </c>
      <c r="D21" s="132">
        <v>3</v>
      </c>
      <c r="E21" s="128">
        <v>7</v>
      </c>
      <c r="F21" s="129" t="s">
        <v>1125</v>
      </c>
      <c r="G21" s="130">
        <v>64300</v>
      </c>
      <c r="H21" s="130">
        <v>10</v>
      </c>
      <c r="I21" s="131">
        <f t="shared" si="0"/>
        <v>643000</v>
      </c>
    </row>
    <row r="22" spans="2:9" ht="21.95" customHeight="1">
      <c r="B22" s="125">
        <f>SUBTOTAL(3,$F$11:F22)+0</f>
        <v>12</v>
      </c>
      <c r="C22" s="126">
        <v>45135</v>
      </c>
      <c r="D22" s="132">
        <v>3</v>
      </c>
      <c r="E22" s="128">
        <v>7</v>
      </c>
      <c r="F22" s="129" t="s">
        <v>1125</v>
      </c>
      <c r="G22" s="130">
        <v>67300</v>
      </c>
      <c r="H22" s="130">
        <v>51</v>
      </c>
      <c r="I22" s="131">
        <f t="shared" si="0"/>
        <v>3432300</v>
      </c>
    </row>
    <row r="23" spans="2:9" ht="21.95" customHeight="1">
      <c r="B23" s="125">
        <f>SUBTOTAL(3,$F$11:F23)+0</f>
        <v>13</v>
      </c>
      <c r="C23" s="126">
        <v>45137</v>
      </c>
      <c r="D23" s="132">
        <v>3</v>
      </c>
      <c r="E23" s="128">
        <v>7</v>
      </c>
      <c r="F23" s="129" t="s">
        <v>1125</v>
      </c>
      <c r="G23" s="130">
        <v>34500</v>
      </c>
      <c r="H23" s="130">
        <v>57</v>
      </c>
      <c r="I23" s="131">
        <f t="shared" si="0"/>
        <v>1966500</v>
      </c>
    </row>
    <row r="24" spans="2:9" ht="21.95" customHeight="1">
      <c r="B24" s="125">
        <f>SUBTOTAL(3,$F$11:F24)+0</f>
        <v>14</v>
      </c>
      <c r="C24" s="126">
        <v>45138</v>
      </c>
      <c r="D24" s="132">
        <v>3</v>
      </c>
      <c r="E24" s="128">
        <v>7</v>
      </c>
      <c r="F24" s="129" t="s">
        <v>1125</v>
      </c>
      <c r="G24" s="130">
        <v>62500</v>
      </c>
      <c r="H24" s="130">
        <v>53</v>
      </c>
      <c r="I24" s="131">
        <f t="shared" si="0"/>
        <v>3312500</v>
      </c>
    </row>
    <row r="25" spans="2:9" ht="21.95" customHeight="1">
      <c r="B25" s="125">
        <f>SUBTOTAL(3,$F$11:F25)+0</f>
        <v>15</v>
      </c>
      <c r="C25" s="126">
        <v>45142</v>
      </c>
      <c r="D25" s="132">
        <v>3</v>
      </c>
      <c r="E25" s="128">
        <v>8</v>
      </c>
      <c r="F25" s="129" t="s">
        <v>1125</v>
      </c>
      <c r="G25" s="130">
        <v>33600</v>
      </c>
      <c r="H25" s="130">
        <v>41</v>
      </c>
      <c r="I25" s="131">
        <f t="shared" si="0"/>
        <v>1377600</v>
      </c>
    </row>
    <row r="26" spans="2:9" ht="21.95" customHeight="1">
      <c r="B26" s="125">
        <f>SUBTOTAL(3,$F$11:F26)+0</f>
        <v>16</v>
      </c>
      <c r="C26" s="126">
        <v>45145</v>
      </c>
      <c r="D26" s="132">
        <v>3</v>
      </c>
      <c r="E26" s="128">
        <v>8</v>
      </c>
      <c r="F26" s="129" t="s">
        <v>1125</v>
      </c>
      <c r="G26" s="130">
        <v>36100</v>
      </c>
      <c r="H26" s="130">
        <v>18</v>
      </c>
      <c r="I26" s="131">
        <f t="shared" si="0"/>
        <v>649800</v>
      </c>
    </row>
    <row r="27" spans="2:9" ht="21.95" customHeight="1">
      <c r="B27" s="125">
        <f>SUBTOTAL(3,$F$11:F27)+0</f>
        <v>17</v>
      </c>
      <c r="C27" s="126">
        <v>45147</v>
      </c>
      <c r="D27" s="132">
        <v>3</v>
      </c>
      <c r="E27" s="128">
        <v>8</v>
      </c>
      <c r="F27" s="129" t="s">
        <v>1125</v>
      </c>
      <c r="G27" s="130">
        <v>35700</v>
      </c>
      <c r="H27" s="130">
        <v>10</v>
      </c>
      <c r="I27" s="131">
        <f t="shared" si="0"/>
        <v>357000</v>
      </c>
    </row>
    <row r="28" spans="2:9" ht="21.95" customHeight="1">
      <c r="B28" s="125">
        <f>SUBTOTAL(3,$F$11:F28)+0</f>
        <v>18</v>
      </c>
      <c r="C28" s="126">
        <v>45150</v>
      </c>
      <c r="D28" s="132">
        <v>3</v>
      </c>
      <c r="E28" s="128">
        <v>8</v>
      </c>
      <c r="F28" s="129" t="s">
        <v>1125</v>
      </c>
      <c r="G28" s="130">
        <v>64300</v>
      </c>
      <c r="H28" s="130">
        <v>35</v>
      </c>
      <c r="I28" s="131">
        <f t="shared" si="0"/>
        <v>2250500</v>
      </c>
    </row>
    <row r="29" spans="2:9" ht="21.95" customHeight="1">
      <c r="B29" s="125">
        <f>SUBTOTAL(3,$F$11:F29)+0</f>
        <v>19</v>
      </c>
      <c r="C29" s="126">
        <v>45150</v>
      </c>
      <c r="D29" s="132">
        <v>3</v>
      </c>
      <c r="E29" s="128">
        <v>8</v>
      </c>
      <c r="F29" s="129" t="s">
        <v>1125</v>
      </c>
      <c r="G29" s="130">
        <v>48900</v>
      </c>
      <c r="H29" s="130">
        <v>31</v>
      </c>
      <c r="I29" s="131">
        <f t="shared" si="0"/>
        <v>1515900</v>
      </c>
    </row>
    <row r="30" spans="2:9" ht="21.95" customHeight="1">
      <c r="B30" s="125">
        <f>SUBTOTAL(3,$F$11:F30)+0</f>
        <v>20</v>
      </c>
      <c r="C30" s="126">
        <v>45150</v>
      </c>
      <c r="D30" s="132">
        <v>3</v>
      </c>
      <c r="E30" s="128">
        <v>8</v>
      </c>
      <c r="F30" s="129" t="s">
        <v>1125</v>
      </c>
      <c r="G30" s="130">
        <v>34500</v>
      </c>
      <c r="H30" s="130">
        <v>44</v>
      </c>
      <c r="I30" s="131">
        <f t="shared" si="0"/>
        <v>1518000</v>
      </c>
    </row>
    <row r="31" spans="2:9" ht="21.95" customHeight="1">
      <c r="B31" s="125">
        <f>SUBTOTAL(3,$F$11:F31)+0</f>
        <v>21</v>
      </c>
      <c r="C31" s="126">
        <v>45151</v>
      </c>
      <c r="D31" s="132">
        <v>3</v>
      </c>
      <c r="E31" s="128">
        <v>8</v>
      </c>
      <c r="F31" s="129" t="s">
        <v>1125</v>
      </c>
      <c r="G31" s="130">
        <v>41300</v>
      </c>
      <c r="H31" s="130">
        <v>62</v>
      </c>
      <c r="I31" s="131">
        <f t="shared" si="0"/>
        <v>2560600</v>
      </c>
    </row>
    <row r="32" spans="2:9" ht="21.95" customHeight="1">
      <c r="B32" s="125">
        <f>SUBTOTAL(3,$F$11:F32)+0</f>
        <v>22</v>
      </c>
      <c r="C32" s="126">
        <v>45156</v>
      </c>
      <c r="D32" s="132">
        <v>3</v>
      </c>
      <c r="E32" s="128">
        <v>8</v>
      </c>
      <c r="F32" s="129" t="s">
        <v>1123</v>
      </c>
      <c r="G32" s="130">
        <v>64700</v>
      </c>
      <c r="H32" s="130">
        <v>12</v>
      </c>
      <c r="I32" s="131">
        <f t="shared" si="0"/>
        <v>776400</v>
      </c>
    </row>
    <row r="33" spans="2:9" ht="21.95" customHeight="1">
      <c r="B33" s="125">
        <f>SUBTOTAL(3,$F$11:F33)+0</f>
        <v>23</v>
      </c>
      <c r="C33" s="126">
        <v>45157</v>
      </c>
      <c r="D33" s="132">
        <v>3</v>
      </c>
      <c r="E33" s="128">
        <v>8</v>
      </c>
      <c r="F33" s="129" t="s">
        <v>1123</v>
      </c>
      <c r="G33" s="130">
        <v>67700</v>
      </c>
      <c r="H33" s="130">
        <v>32</v>
      </c>
      <c r="I33" s="131">
        <f t="shared" si="0"/>
        <v>2166400</v>
      </c>
    </row>
    <row r="34" spans="2:9" ht="21.95" customHeight="1">
      <c r="B34" s="125">
        <f>SUBTOTAL(3,$F$11:F34)+0</f>
        <v>24</v>
      </c>
      <c r="C34" s="126">
        <v>45157</v>
      </c>
      <c r="D34" s="132">
        <v>3</v>
      </c>
      <c r="E34" s="128">
        <v>8</v>
      </c>
      <c r="F34" s="129" t="s">
        <v>1123</v>
      </c>
      <c r="G34" s="130">
        <v>35700</v>
      </c>
      <c r="H34" s="130">
        <v>17</v>
      </c>
      <c r="I34" s="131">
        <f t="shared" si="0"/>
        <v>606900</v>
      </c>
    </row>
    <row r="35" spans="2:9" ht="21.95" customHeight="1">
      <c r="B35" s="125">
        <f>SUBTOTAL(3,$F$11:F35)+0</f>
        <v>25</v>
      </c>
      <c r="C35" s="126">
        <v>45158</v>
      </c>
      <c r="D35" s="132">
        <v>3</v>
      </c>
      <c r="E35" s="128">
        <v>8</v>
      </c>
      <c r="F35" s="129" t="s">
        <v>1123</v>
      </c>
      <c r="G35" s="130">
        <v>67700</v>
      </c>
      <c r="H35" s="130">
        <v>64</v>
      </c>
      <c r="I35" s="131">
        <f t="shared" si="0"/>
        <v>4332800</v>
      </c>
    </row>
    <row r="36" spans="2:9" ht="21.95" customHeight="1">
      <c r="B36" s="125">
        <f>SUBTOTAL(3,$F$11:F36)+0</f>
        <v>26</v>
      </c>
      <c r="C36" s="126">
        <v>45159</v>
      </c>
      <c r="D36" s="132">
        <v>3</v>
      </c>
      <c r="E36" s="128">
        <v>8</v>
      </c>
      <c r="F36" s="129" t="s">
        <v>1123</v>
      </c>
      <c r="G36" s="130">
        <v>65100</v>
      </c>
      <c r="H36" s="130">
        <v>17</v>
      </c>
      <c r="I36" s="131">
        <f t="shared" si="0"/>
        <v>1106700</v>
      </c>
    </row>
    <row r="37" spans="2:9" ht="21.95" customHeight="1">
      <c r="B37" s="125">
        <f>SUBTOTAL(3,$F$11:F37)+0</f>
        <v>27</v>
      </c>
      <c r="C37" s="126">
        <v>45160</v>
      </c>
      <c r="D37" s="132">
        <v>3</v>
      </c>
      <c r="E37" s="128">
        <v>8</v>
      </c>
      <c r="F37" s="129" t="s">
        <v>1123</v>
      </c>
      <c r="G37" s="130">
        <v>64300</v>
      </c>
      <c r="H37" s="130">
        <v>12</v>
      </c>
      <c r="I37" s="131">
        <f t="shared" si="0"/>
        <v>771600</v>
      </c>
    </row>
    <row r="38" spans="2:9" ht="21.95" customHeight="1">
      <c r="B38" s="125">
        <f>SUBTOTAL(3,$F$11:F38)+0</f>
        <v>28</v>
      </c>
      <c r="C38" s="126">
        <v>45160</v>
      </c>
      <c r="D38" s="132">
        <v>3</v>
      </c>
      <c r="E38" s="128">
        <v>8</v>
      </c>
      <c r="F38" s="129" t="s">
        <v>1123</v>
      </c>
      <c r="G38" s="130">
        <v>35700</v>
      </c>
      <c r="H38" s="130">
        <v>24</v>
      </c>
      <c r="I38" s="131">
        <f t="shared" si="0"/>
        <v>856800</v>
      </c>
    </row>
    <row r="39" spans="2:9" ht="21.95" customHeight="1">
      <c r="B39" s="125">
        <f>SUBTOTAL(3,$F$11:F39)+0</f>
        <v>29</v>
      </c>
      <c r="C39" s="126">
        <v>45163</v>
      </c>
      <c r="D39" s="132">
        <v>3</v>
      </c>
      <c r="E39" s="128">
        <v>8</v>
      </c>
      <c r="F39" s="129" t="s">
        <v>1123</v>
      </c>
      <c r="G39" s="130">
        <v>36100</v>
      </c>
      <c r="H39" s="130">
        <v>40</v>
      </c>
      <c r="I39" s="131">
        <f t="shared" si="0"/>
        <v>1444000</v>
      </c>
    </row>
    <row r="40" spans="2:9" ht="21.95" customHeight="1">
      <c r="B40" s="125">
        <f>SUBTOTAL(3,$F$11:F40)+0</f>
        <v>30</v>
      </c>
      <c r="C40" s="126">
        <v>45163</v>
      </c>
      <c r="D40" s="132">
        <v>3</v>
      </c>
      <c r="E40" s="128">
        <v>8</v>
      </c>
      <c r="F40" s="129" t="s">
        <v>1123</v>
      </c>
      <c r="G40" s="130">
        <v>66200</v>
      </c>
      <c r="H40" s="130">
        <v>26</v>
      </c>
      <c r="I40" s="131">
        <f t="shared" si="0"/>
        <v>1721200</v>
      </c>
    </row>
    <row r="41" spans="2:9" ht="21.95" customHeight="1">
      <c r="B41" s="125">
        <f>SUBTOTAL(3,$F$11:F41)+0</f>
        <v>31</v>
      </c>
      <c r="C41" s="126">
        <v>45166</v>
      </c>
      <c r="D41" s="132">
        <v>3</v>
      </c>
      <c r="E41" s="128">
        <v>8</v>
      </c>
      <c r="F41" s="129" t="s">
        <v>1123</v>
      </c>
      <c r="G41" s="130">
        <v>67300</v>
      </c>
      <c r="H41" s="130">
        <v>29</v>
      </c>
      <c r="I41" s="131">
        <f t="shared" si="0"/>
        <v>1951700</v>
      </c>
    </row>
    <row r="42" spans="2:9" ht="21.95" customHeight="1">
      <c r="B42" s="125">
        <f>SUBTOTAL(3,$F$11:F42)+0</f>
        <v>32</v>
      </c>
      <c r="C42" s="126">
        <v>45170</v>
      </c>
      <c r="D42" s="132">
        <v>3</v>
      </c>
      <c r="E42" s="128">
        <v>9</v>
      </c>
      <c r="F42" s="129" t="s">
        <v>1123</v>
      </c>
      <c r="G42" s="130">
        <v>64300</v>
      </c>
      <c r="H42" s="130">
        <v>50</v>
      </c>
      <c r="I42" s="131">
        <f t="shared" si="0"/>
        <v>3215000</v>
      </c>
    </row>
    <row r="43" spans="2:9" ht="21.95" customHeight="1">
      <c r="B43" s="125">
        <f>SUBTOTAL(3,$F$11:F43)+0</f>
        <v>33</v>
      </c>
      <c r="C43" s="126">
        <v>45173</v>
      </c>
      <c r="D43" s="132">
        <v>3</v>
      </c>
      <c r="E43" s="128">
        <v>9</v>
      </c>
      <c r="F43" s="129" t="s">
        <v>1123</v>
      </c>
      <c r="G43" s="130">
        <v>33600</v>
      </c>
      <c r="H43" s="130">
        <v>35</v>
      </c>
      <c r="I43" s="131">
        <f t="shared" si="0"/>
        <v>1176000</v>
      </c>
    </row>
    <row r="44" spans="2:9" ht="21.95" customHeight="1">
      <c r="B44" s="125">
        <f>SUBTOTAL(3,$F$11:F44)+0</f>
        <v>34</v>
      </c>
      <c r="C44" s="126">
        <v>45173</v>
      </c>
      <c r="D44" s="132">
        <v>3</v>
      </c>
      <c r="E44" s="128">
        <v>9</v>
      </c>
      <c r="F44" s="129" t="s">
        <v>1123</v>
      </c>
      <c r="G44" s="130">
        <v>64700</v>
      </c>
      <c r="H44" s="130">
        <v>19</v>
      </c>
      <c r="I44" s="131">
        <f t="shared" si="0"/>
        <v>1229300</v>
      </c>
    </row>
    <row r="45" spans="2:9" ht="21.95" customHeight="1">
      <c r="B45" s="125">
        <f>SUBTOTAL(3,$F$11:F45)+0</f>
        <v>35</v>
      </c>
      <c r="C45" s="126">
        <v>45175</v>
      </c>
      <c r="D45" s="132">
        <v>3</v>
      </c>
      <c r="E45" s="128">
        <v>9</v>
      </c>
      <c r="F45" s="129" t="s">
        <v>1123</v>
      </c>
      <c r="G45" s="130">
        <v>41300</v>
      </c>
      <c r="H45" s="130">
        <v>29</v>
      </c>
      <c r="I45" s="131">
        <f t="shared" si="0"/>
        <v>1197700</v>
      </c>
    </row>
    <row r="46" spans="2:9" ht="21.95" customHeight="1">
      <c r="B46" s="125">
        <f>SUBTOTAL(3,$F$11:F46)+0</f>
        <v>36</v>
      </c>
      <c r="C46" s="126">
        <v>45177</v>
      </c>
      <c r="D46" s="132">
        <v>3</v>
      </c>
      <c r="E46" s="128">
        <v>9</v>
      </c>
      <c r="F46" s="129" t="s">
        <v>1123</v>
      </c>
      <c r="G46" s="130">
        <v>36100</v>
      </c>
      <c r="H46" s="130">
        <v>29</v>
      </c>
      <c r="I46" s="131">
        <f t="shared" si="0"/>
        <v>1046900</v>
      </c>
    </row>
    <row r="47" spans="2:9" ht="21.95" customHeight="1">
      <c r="B47" s="125">
        <f>SUBTOTAL(3,$F$11:F47)+0</f>
        <v>37</v>
      </c>
      <c r="C47" s="126">
        <v>45180</v>
      </c>
      <c r="D47" s="132">
        <v>3</v>
      </c>
      <c r="E47" s="128">
        <v>9</v>
      </c>
      <c r="F47" s="129" t="s">
        <v>1124</v>
      </c>
      <c r="G47" s="130">
        <v>64700</v>
      </c>
      <c r="H47" s="130">
        <v>26</v>
      </c>
      <c r="I47" s="131">
        <f t="shared" si="0"/>
        <v>1682200</v>
      </c>
    </row>
    <row r="48" spans="2:9" ht="21.95" customHeight="1">
      <c r="B48" s="125">
        <f>SUBTOTAL(3,$F$11:F48)+0</f>
        <v>38</v>
      </c>
      <c r="C48" s="126">
        <v>45181</v>
      </c>
      <c r="D48" s="132">
        <v>3</v>
      </c>
      <c r="E48" s="128">
        <v>9</v>
      </c>
      <c r="F48" s="129" t="s">
        <v>1124</v>
      </c>
      <c r="G48" s="130">
        <v>67700</v>
      </c>
      <c r="H48" s="130">
        <v>61</v>
      </c>
      <c r="I48" s="131">
        <f t="shared" si="0"/>
        <v>4129700</v>
      </c>
    </row>
    <row r="49" spans="2:9" ht="21.95" customHeight="1">
      <c r="B49" s="125">
        <f>SUBTOTAL(3,$F$11:F49)+0</f>
        <v>39</v>
      </c>
      <c r="C49" s="126">
        <v>45183</v>
      </c>
      <c r="D49" s="132">
        <v>3</v>
      </c>
      <c r="E49" s="128">
        <v>9</v>
      </c>
      <c r="F49" s="129" t="s">
        <v>1124</v>
      </c>
      <c r="G49" s="130">
        <v>36100</v>
      </c>
      <c r="H49" s="130">
        <v>32</v>
      </c>
      <c r="I49" s="131">
        <f t="shared" si="0"/>
        <v>1155200</v>
      </c>
    </row>
    <row r="50" spans="2:9" ht="21.95" customHeight="1">
      <c r="B50" s="125">
        <f>SUBTOTAL(3,$F$11:F50)+0</f>
        <v>40</v>
      </c>
      <c r="C50" s="126">
        <v>45186</v>
      </c>
      <c r="D50" s="132">
        <v>3</v>
      </c>
      <c r="E50" s="128">
        <v>9</v>
      </c>
      <c r="F50" s="129" t="s">
        <v>1124</v>
      </c>
      <c r="G50" s="130">
        <v>64300</v>
      </c>
      <c r="H50" s="130">
        <v>13</v>
      </c>
      <c r="I50" s="131">
        <f t="shared" si="0"/>
        <v>835900</v>
      </c>
    </row>
    <row r="51" spans="2:9" ht="21.95" customHeight="1">
      <c r="B51" s="125">
        <f>SUBTOTAL(3,$F$11:F51)+0</f>
        <v>41</v>
      </c>
      <c r="C51" s="126">
        <v>45186</v>
      </c>
      <c r="D51" s="132">
        <v>3</v>
      </c>
      <c r="E51" s="128">
        <v>9</v>
      </c>
      <c r="F51" s="129" t="s">
        <v>1124</v>
      </c>
      <c r="G51" s="130">
        <v>64300</v>
      </c>
      <c r="H51" s="130">
        <v>25</v>
      </c>
      <c r="I51" s="131">
        <f t="shared" si="0"/>
        <v>1607500</v>
      </c>
    </row>
    <row r="52" spans="2:9" ht="21.95" customHeight="1">
      <c r="B52" s="125">
        <f>SUBTOTAL(3,$F$11:F52)+0</f>
        <v>42</v>
      </c>
      <c r="C52" s="126">
        <v>45187</v>
      </c>
      <c r="D52" s="132">
        <v>3</v>
      </c>
      <c r="E52" s="128">
        <v>9</v>
      </c>
      <c r="F52" s="129" t="s">
        <v>1124</v>
      </c>
      <c r="G52" s="130">
        <v>59500</v>
      </c>
      <c r="H52" s="130">
        <v>66</v>
      </c>
      <c r="I52" s="131">
        <f t="shared" si="0"/>
        <v>3927000</v>
      </c>
    </row>
    <row r="53" spans="2:9" ht="21.95" customHeight="1">
      <c r="B53" s="125">
        <f>SUBTOTAL(3,$F$11:F53)+0</f>
        <v>43</v>
      </c>
      <c r="C53" s="126">
        <v>45188</v>
      </c>
      <c r="D53" s="132">
        <v>3</v>
      </c>
      <c r="E53" s="128">
        <v>9</v>
      </c>
      <c r="F53" s="129" t="s">
        <v>1124</v>
      </c>
      <c r="G53" s="130">
        <v>65100</v>
      </c>
      <c r="H53" s="130">
        <v>19</v>
      </c>
      <c r="I53" s="131">
        <f t="shared" si="0"/>
        <v>1236900</v>
      </c>
    </row>
    <row r="54" spans="2:9" ht="21.95" customHeight="1">
      <c r="B54" s="125">
        <f>SUBTOTAL(3,$F$11:F54)+0</f>
        <v>44</v>
      </c>
      <c r="C54" s="126">
        <v>45190</v>
      </c>
      <c r="D54" s="132">
        <v>3</v>
      </c>
      <c r="E54" s="128">
        <v>9</v>
      </c>
      <c r="F54" s="129" t="s">
        <v>1124</v>
      </c>
      <c r="G54" s="130">
        <v>59500</v>
      </c>
      <c r="H54" s="130">
        <v>31</v>
      </c>
      <c r="I54" s="131">
        <f t="shared" si="0"/>
        <v>1844500</v>
      </c>
    </row>
    <row r="55" spans="2:9" ht="21.95" customHeight="1">
      <c r="B55" s="125">
        <f>SUBTOTAL(3,$F$11:F55)+0</f>
        <v>45</v>
      </c>
      <c r="C55" s="126">
        <v>45192</v>
      </c>
      <c r="D55" s="132">
        <v>3</v>
      </c>
      <c r="E55" s="128">
        <v>9</v>
      </c>
      <c r="F55" s="129" t="s">
        <v>1124</v>
      </c>
      <c r="G55" s="130">
        <v>41300</v>
      </c>
      <c r="H55" s="130">
        <v>40</v>
      </c>
      <c r="I55" s="131">
        <f t="shared" si="0"/>
        <v>1652000</v>
      </c>
    </row>
    <row r="56" spans="2:9" ht="21.95" customHeight="1">
      <c r="B56" s="125">
        <f>SUBTOTAL(3,$F$11:F56)+0</f>
        <v>46</v>
      </c>
      <c r="C56" s="126">
        <v>45195</v>
      </c>
      <c r="D56" s="132">
        <v>3</v>
      </c>
      <c r="E56" s="128">
        <v>9</v>
      </c>
      <c r="F56" s="129" t="s">
        <v>1124</v>
      </c>
      <c r="G56" s="130">
        <v>34200</v>
      </c>
      <c r="H56" s="130">
        <v>27</v>
      </c>
      <c r="I56" s="131">
        <f t="shared" si="0"/>
        <v>923400</v>
      </c>
    </row>
    <row r="57" spans="2:9" ht="21.95" customHeight="1">
      <c r="B57" s="125">
        <f>SUBTOTAL(3,$F$11:F57)+0</f>
        <v>47</v>
      </c>
      <c r="C57" s="126">
        <v>45197</v>
      </c>
      <c r="D57" s="132">
        <v>3</v>
      </c>
      <c r="E57" s="128">
        <v>9</v>
      </c>
      <c r="F57" s="129" t="s">
        <v>1124</v>
      </c>
      <c r="G57" s="130">
        <v>64300</v>
      </c>
      <c r="H57" s="130">
        <v>25</v>
      </c>
      <c r="I57" s="131">
        <f t="shared" si="0"/>
        <v>1607500</v>
      </c>
    </row>
    <row r="58" spans="2:9" ht="21.95" customHeight="1">
      <c r="B58" s="125">
        <f>SUBTOTAL(3,$F$11:F58)+0</f>
        <v>48</v>
      </c>
      <c r="C58" s="126">
        <v>45197</v>
      </c>
      <c r="D58" s="132">
        <v>3</v>
      </c>
      <c r="E58" s="128">
        <v>9</v>
      </c>
      <c r="F58" s="129" t="s">
        <v>1126</v>
      </c>
      <c r="G58" s="130">
        <v>67700</v>
      </c>
      <c r="H58" s="130">
        <v>8</v>
      </c>
      <c r="I58" s="131">
        <f t="shared" si="0"/>
        <v>541600</v>
      </c>
    </row>
    <row r="59" spans="2:9" ht="21.95" customHeight="1">
      <c r="B59" s="125">
        <f>SUBTOTAL(3,$F$11:F59)+0</f>
        <v>49</v>
      </c>
      <c r="C59" s="126">
        <v>45197</v>
      </c>
      <c r="D59" s="132">
        <v>3</v>
      </c>
      <c r="E59" s="128">
        <v>9</v>
      </c>
      <c r="F59" s="129" t="s">
        <v>1126</v>
      </c>
      <c r="G59" s="130">
        <v>33400</v>
      </c>
      <c r="H59" s="130">
        <v>29</v>
      </c>
      <c r="I59" s="131">
        <f t="shared" si="0"/>
        <v>968600</v>
      </c>
    </row>
    <row r="60" spans="2:9" ht="21.95" customHeight="1">
      <c r="B60" s="125">
        <f>SUBTOTAL(3,$F$11:F60)+0</f>
        <v>50</v>
      </c>
      <c r="C60" s="126">
        <v>45198</v>
      </c>
      <c r="D60" s="132">
        <v>3</v>
      </c>
      <c r="E60" s="128">
        <v>9</v>
      </c>
      <c r="F60" s="129" t="s">
        <v>1126</v>
      </c>
      <c r="G60" s="130">
        <v>59500</v>
      </c>
      <c r="H60" s="130">
        <v>48</v>
      </c>
      <c r="I60" s="131">
        <f t="shared" si="0"/>
        <v>2856000</v>
      </c>
    </row>
    <row r="61" spans="2:9" ht="21.95" customHeight="1">
      <c r="B61" s="125">
        <f>SUBTOTAL(3,$F$11:F61)+0</f>
        <v>51</v>
      </c>
      <c r="C61" s="126">
        <v>45204</v>
      </c>
      <c r="D61" s="132">
        <v>4</v>
      </c>
      <c r="E61" s="128">
        <v>10</v>
      </c>
      <c r="F61" s="129" t="s">
        <v>1126</v>
      </c>
      <c r="G61" s="130">
        <v>41300</v>
      </c>
      <c r="H61" s="130">
        <v>5</v>
      </c>
      <c r="I61" s="131">
        <f t="shared" si="0"/>
        <v>206500</v>
      </c>
    </row>
    <row r="62" spans="2:9" ht="21.95" customHeight="1">
      <c r="B62" s="125">
        <f>SUBTOTAL(3,$F$11:F62)+0</f>
        <v>52</v>
      </c>
      <c r="C62" s="126">
        <v>45204</v>
      </c>
      <c r="D62" s="132">
        <v>4</v>
      </c>
      <c r="E62" s="128">
        <v>10</v>
      </c>
      <c r="F62" s="129" t="s">
        <v>1126</v>
      </c>
      <c r="G62" s="130">
        <v>34200</v>
      </c>
      <c r="H62" s="130">
        <v>35</v>
      </c>
      <c r="I62" s="131">
        <f t="shared" si="0"/>
        <v>1197000</v>
      </c>
    </row>
    <row r="63" spans="2:9" ht="21.95" customHeight="1">
      <c r="B63" s="125">
        <f>SUBTOTAL(3,$F$11:F63)+0</f>
        <v>53</v>
      </c>
      <c r="C63" s="126">
        <v>45210</v>
      </c>
      <c r="D63" s="132">
        <v>4</v>
      </c>
      <c r="E63" s="128">
        <v>10</v>
      </c>
      <c r="F63" s="129" t="s">
        <v>1126</v>
      </c>
      <c r="G63" s="130">
        <v>67300</v>
      </c>
      <c r="H63" s="130">
        <v>30</v>
      </c>
      <c r="I63" s="131">
        <f t="shared" si="0"/>
        <v>2019000</v>
      </c>
    </row>
    <row r="64" spans="2:9" ht="21.95" customHeight="1">
      <c r="B64" s="125">
        <f>SUBTOTAL(3,$F$11:F64)+0</f>
        <v>54</v>
      </c>
      <c r="C64" s="126">
        <v>45211</v>
      </c>
      <c r="D64" s="132">
        <v>4</v>
      </c>
      <c r="E64" s="128">
        <v>10</v>
      </c>
      <c r="F64" s="129" t="s">
        <v>1126</v>
      </c>
      <c r="G64" s="130">
        <v>65100</v>
      </c>
      <c r="H64" s="130">
        <v>23</v>
      </c>
      <c r="I64" s="131">
        <f t="shared" si="0"/>
        <v>1497300</v>
      </c>
    </row>
    <row r="65" spans="2:9" ht="21.95" customHeight="1">
      <c r="B65" s="125">
        <f>SUBTOTAL(3,$F$11:F65)+0</f>
        <v>55</v>
      </c>
      <c r="C65" s="126">
        <v>45211</v>
      </c>
      <c r="D65" s="132">
        <v>4</v>
      </c>
      <c r="E65" s="128">
        <v>10</v>
      </c>
      <c r="F65" s="129" t="s">
        <v>1126</v>
      </c>
      <c r="G65" s="130">
        <v>36100</v>
      </c>
      <c r="H65" s="130">
        <v>32</v>
      </c>
      <c r="I65" s="131">
        <f t="shared" si="0"/>
        <v>1155200</v>
      </c>
    </row>
    <row r="66" spans="2:9" ht="21.95" customHeight="1">
      <c r="B66" s="125">
        <f>SUBTOTAL(3,$F$11:F66)+0</f>
        <v>56</v>
      </c>
      <c r="C66" s="126">
        <v>45211</v>
      </c>
      <c r="D66" s="132">
        <v>4</v>
      </c>
      <c r="E66" s="128">
        <v>10</v>
      </c>
      <c r="F66" s="129" t="s">
        <v>1126</v>
      </c>
      <c r="G66" s="130">
        <v>34200</v>
      </c>
      <c r="H66" s="130">
        <v>30</v>
      </c>
      <c r="I66" s="131">
        <f t="shared" si="0"/>
        <v>1026000</v>
      </c>
    </row>
    <row r="67" spans="2:9" ht="21.95" customHeight="1">
      <c r="B67" s="125">
        <f>SUBTOTAL(3,$F$11:F67)+0</f>
        <v>57</v>
      </c>
      <c r="C67" s="126">
        <v>45215</v>
      </c>
      <c r="D67" s="132">
        <v>4</v>
      </c>
      <c r="E67" s="128">
        <v>10</v>
      </c>
      <c r="F67" s="129" t="s">
        <v>1126</v>
      </c>
      <c r="G67" s="130">
        <v>35700</v>
      </c>
      <c r="H67" s="130">
        <v>61</v>
      </c>
      <c r="I67" s="131">
        <f t="shared" si="0"/>
        <v>2177700</v>
      </c>
    </row>
    <row r="68" spans="2:9" ht="21.95" customHeight="1">
      <c r="B68" s="125">
        <f>SUBTOTAL(3,$F$11:F68)+0</f>
        <v>58</v>
      </c>
      <c r="C68" s="126">
        <v>45216</v>
      </c>
      <c r="D68" s="132">
        <v>4</v>
      </c>
      <c r="E68" s="128">
        <v>10</v>
      </c>
      <c r="F68" s="129" t="s">
        <v>1126</v>
      </c>
      <c r="G68" s="130">
        <v>64700</v>
      </c>
      <c r="H68" s="130">
        <v>65</v>
      </c>
      <c r="I68" s="131">
        <f t="shared" si="0"/>
        <v>4205500</v>
      </c>
    </row>
    <row r="69" spans="2:9" ht="21.95" customHeight="1">
      <c r="B69" s="125">
        <f>SUBTOTAL(3,$F$11:F69)+0</f>
        <v>59</v>
      </c>
      <c r="C69" s="126">
        <v>45217</v>
      </c>
      <c r="D69" s="132">
        <v>4</v>
      </c>
      <c r="E69" s="128">
        <v>10</v>
      </c>
      <c r="F69" s="129" t="s">
        <v>1126</v>
      </c>
      <c r="G69" s="130">
        <v>64300</v>
      </c>
      <c r="H69" s="130">
        <v>64</v>
      </c>
      <c r="I69" s="131">
        <f t="shared" si="0"/>
        <v>4115200</v>
      </c>
    </row>
    <row r="70" spans="2:9" ht="21.95" customHeight="1">
      <c r="B70" s="125">
        <f>SUBTOTAL(3,$F$11:F70)+0</f>
        <v>60</v>
      </c>
      <c r="C70" s="126">
        <v>45217</v>
      </c>
      <c r="D70" s="132">
        <v>4</v>
      </c>
      <c r="E70" s="128">
        <v>10</v>
      </c>
      <c r="F70" s="129" t="s">
        <v>1126</v>
      </c>
      <c r="G70" s="130">
        <v>40500</v>
      </c>
      <c r="H70" s="130">
        <v>8</v>
      </c>
      <c r="I70" s="131">
        <f t="shared" si="0"/>
        <v>324000</v>
      </c>
    </row>
    <row r="71" spans="2:9" ht="21.95" customHeight="1">
      <c r="B71" s="125">
        <f>SUBTOTAL(3,$F$11:F71)+0</f>
        <v>61</v>
      </c>
      <c r="C71" s="126">
        <v>45218</v>
      </c>
      <c r="D71" s="132">
        <v>4</v>
      </c>
      <c r="E71" s="128">
        <v>10</v>
      </c>
      <c r="F71" s="129" t="s">
        <v>1126</v>
      </c>
      <c r="G71" s="130">
        <v>35700</v>
      </c>
      <c r="H71" s="130">
        <v>60</v>
      </c>
      <c r="I71" s="131">
        <f t="shared" si="0"/>
        <v>2142000</v>
      </c>
    </row>
    <row r="72" spans="2:9" ht="21.95" customHeight="1">
      <c r="B72" s="125">
        <f>SUBTOTAL(3,$F$11:F72)+0</f>
        <v>62</v>
      </c>
      <c r="C72" s="126">
        <v>45219</v>
      </c>
      <c r="D72" s="132">
        <v>4</v>
      </c>
      <c r="E72" s="128">
        <v>10</v>
      </c>
      <c r="F72" s="129" t="s">
        <v>1126</v>
      </c>
      <c r="G72" s="130">
        <v>67700</v>
      </c>
      <c r="H72" s="130">
        <v>12</v>
      </c>
      <c r="I72" s="131">
        <f t="shared" si="0"/>
        <v>812400</v>
      </c>
    </row>
    <row r="73" spans="2:9" ht="21.95" customHeight="1">
      <c r="B73" s="125">
        <f>SUBTOTAL(3,$F$11:F73)+0</f>
        <v>63</v>
      </c>
      <c r="C73" s="126">
        <v>45219</v>
      </c>
      <c r="D73" s="132">
        <v>4</v>
      </c>
      <c r="E73" s="128">
        <v>10</v>
      </c>
      <c r="F73" s="129" t="s">
        <v>1126</v>
      </c>
      <c r="G73" s="130">
        <v>33400</v>
      </c>
      <c r="H73" s="130">
        <v>52</v>
      </c>
      <c r="I73" s="131">
        <f t="shared" si="0"/>
        <v>1736800</v>
      </c>
    </row>
    <row r="74" spans="2:9" ht="21.95" customHeight="1">
      <c r="B74" s="125">
        <f>SUBTOTAL(3,$F$11:F74)+0</f>
        <v>64</v>
      </c>
      <c r="C74" s="126">
        <v>45224</v>
      </c>
      <c r="D74" s="132">
        <v>4</v>
      </c>
      <c r="E74" s="128">
        <v>10</v>
      </c>
      <c r="F74" s="129" t="s">
        <v>1126</v>
      </c>
      <c r="G74" s="130">
        <v>35700</v>
      </c>
      <c r="H74" s="130">
        <v>33</v>
      </c>
      <c r="I74" s="131">
        <f t="shared" si="0"/>
        <v>1178100</v>
      </c>
    </row>
    <row r="75" spans="2:9" ht="21.95" customHeight="1">
      <c r="B75" s="125">
        <f>SUBTOTAL(3,$F$11:F75)+0</f>
        <v>65</v>
      </c>
      <c r="C75" s="126">
        <v>45224</v>
      </c>
      <c r="D75" s="132">
        <v>4</v>
      </c>
      <c r="E75" s="128">
        <v>10</v>
      </c>
      <c r="F75" s="129" t="s">
        <v>1126</v>
      </c>
      <c r="G75" s="130">
        <v>46000</v>
      </c>
      <c r="H75" s="130">
        <v>31</v>
      </c>
      <c r="I75" s="131">
        <f t="shared" ref="I75:I110" si="1">G75*H75</f>
        <v>1426000</v>
      </c>
    </row>
    <row r="76" spans="2:9" ht="21.95" customHeight="1">
      <c r="B76" s="125">
        <f>SUBTOTAL(3,$F$11:F76)+0</f>
        <v>66</v>
      </c>
      <c r="C76" s="126">
        <v>45224</v>
      </c>
      <c r="D76" s="132">
        <v>4</v>
      </c>
      <c r="E76" s="128">
        <v>10</v>
      </c>
      <c r="F76" s="129" t="s">
        <v>1126</v>
      </c>
      <c r="G76" s="130">
        <v>46000</v>
      </c>
      <c r="H76" s="130">
        <v>43</v>
      </c>
      <c r="I76" s="131">
        <f t="shared" si="1"/>
        <v>1978000</v>
      </c>
    </row>
    <row r="77" spans="2:9" ht="21.95" customHeight="1">
      <c r="B77" s="125">
        <f>SUBTOTAL(3,$F$11:F77)+0</f>
        <v>67</v>
      </c>
      <c r="C77" s="126">
        <v>45226</v>
      </c>
      <c r="D77" s="132">
        <v>4</v>
      </c>
      <c r="E77" s="128">
        <v>10</v>
      </c>
      <c r="F77" s="129" t="s">
        <v>1127</v>
      </c>
      <c r="G77" s="130">
        <v>62500</v>
      </c>
      <c r="H77" s="130">
        <v>50</v>
      </c>
      <c r="I77" s="131">
        <f t="shared" si="1"/>
        <v>3125000</v>
      </c>
    </row>
    <row r="78" spans="2:9" ht="21.95" customHeight="1">
      <c r="B78" s="125">
        <f>SUBTOTAL(3,$F$11:F78)+0</f>
        <v>68</v>
      </c>
      <c r="C78" s="126">
        <v>45235</v>
      </c>
      <c r="D78" s="132">
        <v>4</v>
      </c>
      <c r="E78" s="128">
        <v>11</v>
      </c>
      <c r="F78" s="129" t="s">
        <v>1128</v>
      </c>
      <c r="G78" s="130">
        <v>65100</v>
      </c>
      <c r="H78" s="130">
        <v>24</v>
      </c>
      <c r="I78" s="131">
        <f t="shared" si="1"/>
        <v>1562400</v>
      </c>
    </row>
    <row r="79" spans="2:9" ht="21.95" customHeight="1">
      <c r="B79" s="125">
        <f>SUBTOTAL(3,$F$11:F79)+0</f>
        <v>69</v>
      </c>
      <c r="C79" s="126">
        <v>45237</v>
      </c>
      <c r="D79" s="132">
        <v>4</v>
      </c>
      <c r="E79" s="128">
        <v>11</v>
      </c>
      <c r="F79" s="129" t="s">
        <v>1125</v>
      </c>
      <c r="G79" s="130">
        <v>41300</v>
      </c>
      <c r="H79" s="130">
        <v>24</v>
      </c>
      <c r="I79" s="131">
        <f t="shared" si="1"/>
        <v>991200</v>
      </c>
    </row>
    <row r="80" spans="2:9" ht="21.95" customHeight="1">
      <c r="B80" s="125">
        <f>SUBTOTAL(3,$F$11:F80)+0</f>
        <v>70</v>
      </c>
      <c r="C80" s="126">
        <v>45237</v>
      </c>
      <c r="D80" s="132">
        <v>4</v>
      </c>
      <c r="E80" s="128">
        <v>11</v>
      </c>
      <c r="F80" s="129" t="s">
        <v>1129</v>
      </c>
      <c r="G80" s="130">
        <v>36600</v>
      </c>
      <c r="H80" s="130">
        <v>48</v>
      </c>
      <c r="I80" s="131">
        <f t="shared" si="1"/>
        <v>1756800</v>
      </c>
    </row>
    <row r="81" spans="2:9" ht="21.95" customHeight="1">
      <c r="B81" s="125">
        <f>SUBTOTAL(3,$F$11:F81)+0</f>
        <v>71</v>
      </c>
      <c r="C81" s="126">
        <v>45237</v>
      </c>
      <c r="D81" s="132">
        <v>4</v>
      </c>
      <c r="E81" s="128">
        <v>11</v>
      </c>
      <c r="F81" s="129" t="s">
        <v>1130</v>
      </c>
      <c r="G81" s="130">
        <v>34500</v>
      </c>
      <c r="H81" s="130">
        <v>57</v>
      </c>
      <c r="I81" s="131">
        <f t="shared" si="1"/>
        <v>1966500</v>
      </c>
    </row>
    <row r="82" spans="2:9" ht="21.95" customHeight="1">
      <c r="B82" s="125">
        <f>SUBTOTAL(3,$F$11:F82)+0</f>
        <v>72</v>
      </c>
      <c r="C82" s="126">
        <v>45240</v>
      </c>
      <c r="D82" s="132">
        <v>4</v>
      </c>
      <c r="E82" s="128">
        <v>11</v>
      </c>
      <c r="F82" s="129" t="s">
        <v>1130</v>
      </c>
      <c r="G82" s="130">
        <v>64300</v>
      </c>
      <c r="H82" s="130">
        <v>11</v>
      </c>
      <c r="I82" s="131">
        <f t="shared" si="1"/>
        <v>707300</v>
      </c>
    </row>
    <row r="83" spans="2:9" ht="21.95" customHeight="1">
      <c r="B83" s="125">
        <f>SUBTOTAL(3,$F$11:F83)+0</f>
        <v>73</v>
      </c>
      <c r="C83" s="126">
        <v>45241</v>
      </c>
      <c r="D83" s="132">
        <v>4</v>
      </c>
      <c r="E83" s="128">
        <v>11</v>
      </c>
      <c r="F83" s="129" t="s">
        <v>1130</v>
      </c>
      <c r="G83" s="130">
        <v>33600</v>
      </c>
      <c r="H83" s="130">
        <v>43</v>
      </c>
      <c r="I83" s="131">
        <f t="shared" si="1"/>
        <v>1444800</v>
      </c>
    </row>
    <row r="84" spans="2:9" ht="21.95" customHeight="1">
      <c r="B84" s="125">
        <f>SUBTOTAL(3,$F$11:F84)+0</f>
        <v>74</v>
      </c>
      <c r="C84" s="126">
        <v>45242</v>
      </c>
      <c r="D84" s="132">
        <v>4</v>
      </c>
      <c r="E84" s="128">
        <v>11</v>
      </c>
      <c r="F84" s="129" t="s">
        <v>1130</v>
      </c>
      <c r="G84" s="130">
        <v>62500</v>
      </c>
      <c r="H84" s="130">
        <v>63</v>
      </c>
      <c r="I84" s="131">
        <f t="shared" si="1"/>
        <v>3937500</v>
      </c>
    </row>
    <row r="85" spans="2:9" ht="21.95" customHeight="1">
      <c r="B85" s="125">
        <f>SUBTOTAL(3,$F$11:F85)+0</f>
        <v>75</v>
      </c>
      <c r="C85" s="126">
        <v>45244</v>
      </c>
      <c r="D85" s="132">
        <v>4</v>
      </c>
      <c r="E85" s="128">
        <v>11</v>
      </c>
      <c r="F85" s="129" t="s">
        <v>1130</v>
      </c>
      <c r="G85" s="130">
        <v>67700</v>
      </c>
      <c r="H85" s="130">
        <v>50</v>
      </c>
      <c r="I85" s="131">
        <f t="shared" si="1"/>
        <v>3385000</v>
      </c>
    </row>
    <row r="86" spans="2:9" ht="21.95" customHeight="1">
      <c r="B86" s="125">
        <f>SUBTOTAL(3,$F$11:F86)+0</f>
        <v>76</v>
      </c>
      <c r="C86" s="126">
        <v>45245</v>
      </c>
      <c r="D86" s="132">
        <v>4</v>
      </c>
      <c r="E86" s="128">
        <v>11</v>
      </c>
      <c r="F86" s="129" t="s">
        <v>1130</v>
      </c>
      <c r="G86" s="130">
        <v>46000</v>
      </c>
      <c r="H86" s="130">
        <v>15</v>
      </c>
      <c r="I86" s="131">
        <f t="shared" si="1"/>
        <v>690000</v>
      </c>
    </row>
    <row r="87" spans="2:9" ht="21.95" customHeight="1">
      <c r="B87" s="125">
        <f>SUBTOTAL(3,$F$11:F87)+0</f>
        <v>77</v>
      </c>
      <c r="C87" s="126">
        <v>45245</v>
      </c>
      <c r="D87" s="132">
        <v>4</v>
      </c>
      <c r="E87" s="128">
        <v>11</v>
      </c>
      <c r="F87" s="129" t="s">
        <v>1130</v>
      </c>
      <c r="G87" s="130">
        <v>67700</v>
      </c>
      <c r="H87" s="130">
        <v>44</v>
      </c>
      <c r="I87" s="131">
        <f t="shared" si="1"/>
        <v>2978800</v>
      </c>
    </row>
    <row r="88" spans="2:9" ht="21.95" customHeight="1">
      <c r="B88" s="125">
        <f>SUBTOTAL(3,$F$11:F88)+0</f>
        <v>78</v>
      </c>
      <c r="C88" s="126">
        <v>45246</v>
      </c>
      <c r="D88" s="132">
        <v>4</v>
      </c>
      <c r="E88" s="128">
        <v>11</v>
      </c>
      <c r="F88" s="129" t="s">
        <v>1130</v>
      </c>
      <c r="G88" s="130">
        <v>59500</v>
      </c>
      <c r="H88" s="130">
        <v>55</v>
      </c>
      <c r="I88" s="131">
        <f t="shared" si="1"/>
        <v>3272500</v>
      </c>
    </row>
    <row r="89" spans="2:9" ht="21.95" customHeight="1">
      <c r="B89" s="125">
        <f>SUBTOTAL(3,$F$11:F89)+0</f>
        <v>79</v>
      </c>
      <c r="C89" s="126">
        <v>45246</v>
      </c>
      <c r="D89" s="132">
        <v>4</v>
      </c>
      <c r="E89" s="128">
        <v>11</v>
      </c>
      <c r="F89" s="129" t="s">
        <v>1130</v>
      </c>
      <c r="G89" s="130">
        <v>48900</v>
      </c>
      <c r="H89" s="130">
        <v>40</v>
      </c>
      <c r="I89" s="131">
        <f t="shared" si="1"/>
        <v>1956000</v>
      </c>
    </row>
    <row r="90" spans="2:9" ht="21.95" customHeight="1">
      <c r="B90" s="125">
        <f>SUBTOTAL(3,$F$11:F90)+0</f>
        <v>80</v>
      </c>
      <c r="C90" s="126">
        <v>45247</v>
      </c>
      <c r="D90" s="132">
        <v>4</v>
      </c>
      <c r="E90" s="128">
        <v>11</v>
      </c>
      <c r="F90" s="129" t="s">
        <v>1130</v>
      </c>
      <c r="G90" s="130">
        <v>46000</v>
      </c>
      <c r="H90" s="130">
        <v>51</v>
      </c>
      <c r="I90" s="131">
        <f t="shared" si="1"/>
        <v>2346000</v>
      </c>
    </row>
    <row r="91" spans="2:9" ht="21.95" customHeight="1">
      <c r="B91" s="125">
        <f>SUBTOTAL(3,$F$11:F91)+0</f>
        <v>81</v>
      </c>
      <c r="C91" s="126">
        <v>45248</v>
      </c>
      <c r="D91" s="132">
        <v>4</v>
      </c>
      <c r="E91" s="128">
        <v>11</v>
      </c>
      <c r="F91" s="129" t="s">
        <v>1130</v>
      </c>
      <c r="G91" s="130">
        <v>33600</v>
      </c>
      <c r="H91" s="130">
        <v>68</v>
      </c>
      <c r="I91" s="131">
        <f t="shared" si="1"/>
        <v>2284800</v>
      </c>
    </row>
    <row r="92" spans="2:9" ht="21.95" customHeight="1">
      <c r="B92" s="125">
        <f>SUBTOTAL(3,$F$11:F92)+0</f>
        <v>82</v>
      </c>
      <c r="C92" s="126">
        <v>45249</v>
      </c>
      <c r="D92" s="132">
        <v>4</v>
      </c>
      <c r="E92" s="128">
        <v>11</v>
      </c>
      <c r="F92" s="129" t="s">
        <v>1130</v>
      </c>
      <c r="G92" s="130">
        <v>67300</v>
      </c>
      <c r="H92" s="130">
        <v>41</v>
      </c>
      <c r="I92" s="131">
        <f t="shared" si="1"/>
        <v>2759300</v>
      </c>
    </row>
    <row r="93" spans="2:9" ht="21.95" customHeight="1">
      <c r="B93" s="125">
        <f>SUBTOTAL(3,$F$11:F93)+0</f>
        <v>83</v>
      </c>
      <c r="C93" s="126">
        <v>45253</v>
      </c>
      <c r="D93" s="132">
        <v>4</v>
      </c>
      <c r="E93" s="128">
        <v>11</v>
      </c>
      <c r="F93" s="129" t="s">
        <v>1130</v>
      </c>
      <c r="G93" s="130">
        <v>33400</v>
      </c>
      <c r="H93" s="130">
        <v>29</v>
      </c>
      <c r="I93" s="131">
        <f t="shared" si="1"/>
        <v>968600</v>
      </c>
    </row>
    <row r="94" spans="2:9" ht="21.95" customHeight="1">
      <c r="B94" s="125">
        <f>SUBTOTAL(3,$F$11:F94)+0</f>
        <v>84</v>
      </c>
      <c r="C94" s="126">
        <v>45253</v>
      </c>
      <c r="D94" s="132">
        <v>4</v>
      </c>
      <c r="E94" s="128">
        <v>11</v>
      </c>
      <c r="F94" s="129" t="s">
        <v>1130</v>
      </c>
      <c r="G94" s="130">
        <v>46000</v>
      </c>
      <c r="H94" s="130">
        <v>7</v>
      </c>
      <c r="I94" s="131">
        <f t="shared" si="1"/>
        <v>322000</v>
      </c>
    </row>
    <row r="95" spans="2:9" ht="21.95" customHeight="1">
      <c r="B95" s="125">
        <f>SUBTOTAL(3,$F$11:F95)+0</f>
        <v>85</v>
      </c>
      <c r="C95" s="126">
        <v>45261</v>
      </c>
      <c r="D95" s="132">
        <v>4</v>
      </c>
      <c r="E95" s="128">
        <v>12</v>
      </c>
      <c r="F95" s="129" t="s">
        <v>1130</v>
      </c>
      <c r="G95" s="130">
        <v>48900</v>
      </c>
      <c r="H95" s="130">
        <v>60</v>
      </c>
      <c r="I95" s="131">
        <f t="shared" si="1"/>
        <v>2934000</v>
      </c>
    </row>
    <row r="96" spans="2:9" ht="21.95" customHeight="1">
      <c r="B96" s="125">
        <f>SUBTOTAL(3,$F$11:F96)+0</f>
        <v>86</v>
      </c>
      <c r="C96" s="126">
        <v>45261</v>
      </c>
      <c r="D96" s="132">
        <v>4</v>
      </c>
      <c r="E96" s="128">
        <v>12</v>
      </c>
      <c r="F96" s="129" t="s">
        <v>1130</v>
      </c>
      <c r="G96" s="130">
        <v>59500</v>
      </c>
      <c r="H96" s="130">
        <v>31</v>
      </c>
      <c r="I96" s="131">
        <f t="shared" si="1"/>
        <v>1844500</v>
      </c>
    </row>
    <row r="97" spans="2:9" ht="21.95" customHeight="1">
      <c r="B97" s="125">
        <f>SUBTOTAL(3,$F$11:F97)+0</f>
        <v>87</v>
      </c>
      <c r="C97" s="126">
        <v>45263</v>
      </c>
      <c r="D97" s="132">
        <v>4</v>
      </c>
      <c r="E97" s="128">
        <v>12</v>
      </c>
      <c r="F97" s="129" t="s">
        <v>1130</v>
      </c>
      <c r="G97" s="130">
        <v>40500</v>
      </c>
      <c r="H97" s="130">
        <v>32</v>
      </c>
      <c r="I97" s="131">
        <f t="shared" si="1"/>
        <v>1296000</v>
      </c>
    </row>
    <row r="98" spans="2:9" ht="21.95" customHeight="1">
      <c r="B98" s="125">
        <f>SUBTOTAL(3,$F$11:F98)+0</f>
        <v>88</v>
      </c>
      <c r="C98" s="126">
        <v>45263</v>
      </c>
      <c r="D98" s="132">
        <v>4</v>
      </c>
      <c r="E98" s="128">
        <v>12</v>
      </c>
      <c r="F98" s="129" t="s">
        <v>1130</v>
      </c>
      <c r="G98" s="130">
        <v>59500</v>
      </c>
      <c r="H98" s="130">
        <v>56</v>
      </c>
      <c r="I98" s="131">
        <f t="shared" si="1"/>
        <v>3332000</v>
      </c>
    </row>
    <row r="99" spans="2:9" ht="21.95" customHeight="1">
      <c r="B99" s="125">
        <f>SUBTOTAL(3,$F$11:F99)+0</f>
        <v>89</v>
      </c>
      <c r="C99" s="126">
        <v>45265</v>
      </c>
      <c r="D99" s="132">
        <v>4</v>
      </c>
      <c r="E99" s="128">
        <v>12</v>
      </c>
      <c r="F99" s="129" t="s">
        <v>1126</v>
      </c>
      <c r="G99" s="130">
        <v>66200</v>
      </c>
      <c r="H99" s="130">
        <v>25</v>
      </c>
      <c r="I99" s="131">
        <f t="shared" si="1"/>
        <v>1655000</v>
      </c>
    </row>
    <row r="100" spans="2:9" ht="21.95" customHeight="1">
      <c r="B100" s="125">
        <f>SUBTOTAL(3,$F$11:F100)+0</f>
        <v>90</v>
      </c>
      <c r="C100" s="126">
        <v>45265</v>
      </c>
      <c r="D100" s="132">
        <v>4</v>
      </c>
      <c r="E100" s="128">
        <v>12</v>
      </c>
      <c r="F100" s="129" t="s">
        <v>1126</v>
      </c>
      <c r="G100" s="130">
        <v>62500</v>
      </c>
      <c r="H100" s="130">
        <v>10</v>
      </c>
      <c r="I100" s="131">
        <f t="shared" si="1"/>
        <v>625000</v>
      </c>
    </row>
    <row r="101" spans="2:9" ht="21.95" customHeight="1">
      <c r="B101" s="125">
        <f>SUBTOTAL(3,$F$11:F101)+0</f>
        <v>91</v>
      </c>
      <c r="C101" s="126">
        <v>45266</v>
      </c>
      <c r="D101" s="132">
        <v>4</v>
      </c>
      <c r="E101" s="128">
        <v>12</v>
      </c>
      <c r="F101" s="129" t="s">
        <v>1126</v>
      </c>
      <c r="G101" s="130">
        <v>48900</v>
      </c>
      <c r="H101" s="130">
        <v>28</v>
      </c>
      <c r="I101" s="131">
        <f t="shared" si="1"/>
        <v>1369200</v>
      </c>
    </row>
    <row r="102" spans="2:9" ht="21.95" customHeight="1">
      <c r="B102" s="125">
        <f>SUBTOTAL(3,$F$11:F102)+0</f>
        <v>92</v>
      </c>
      <c r="C102" s="126">
        <v>45266</v>
      </c>
      <c r="D102" s="132">
        <v>4</v>
      </c>
      <c r="E102" s="128">
        <v>12</v>
      </c>
      <c r="F102" s="129" t="s">
        <v>1126</v>
      </c>
      <c r="G102" s="130">
        <v>33600</v>
      </c>
      <c r="H102" s="130">
        <v>33</v>
      </c>
      <c r="I102" s="131">
        <f t="shared" si="1"/>
        <v>1108800</v>
      </c>
    </row>
    <row r="103" spans="2:9" ht="21.95" customHeight="1">
      <c r="B103" s="125">
        <f>SUBTOTAL(3,$F$11:F103)+0</f>
        <v>93</v>
      </c>
      <c r="C103" s="126">
        <v>45267</v>
      </c>
      <c r="D103" s="132">
        <v>4</v>
      </c>
      <c r="E103" s="128">
        <v>12</v>
      </c>
      <c r="F103" s="129" t="s">
        <v>1126</v>
      </c>
      <c r="G103" s="130">
        <v>34200</v>
      </c>
      <c r="H103" s="130">
        <v>35</v>
      </c>
      <c r="I103" s="131">
        <f t="shared" si="1"/>
        <v>1197000</v>
      </c>
    </row>
    <row r="104" spans="2:9" ht="21.95" customHeight="1">
      <c r="B104" s="125">
        <f>SUBTOTAL(3,$F$11:F104)+0</f>
        <v>94</v>
      </c>
      <c r="C104" s="126">
        <v>45268</v>
      </c>
      <c r="D104" s="132">
        <v>4</v>
      </c>
      <c r="E104" s="128">
        <v>12</v>
      </c>
      <c r="F104" s="129" t="s">
        <v>1126</v>
      </c>
      <c r="G104" s="130">
        <v>64700</v>
      </c>
      <c r="H104" s="130">
        <v>56</v>
      </c>
      <c r="I104" s="131">
        <f t="shared" si="1"/>
        <v>3623200</v>
      </c>
    </row>
    <row r="105" spans="2:9" ht="21.95" customHeight="1">
      <c r="B105" s="125">
        <f>SUBTOTAL(3,$F$11:F105)+0</f>
        <v>95</v>
      </c>
      <c r="C105" s="126">
        <v>45271</v>
      </c>
      <c r="D105" s="132">
        <v>4</v>
      </c>
      <c r="E105" s="128">
        <v>12</v>
      </c>
      <c r="F105" s="129" t="s">
        <v>1126</v>
      </c>
      <c r="G105" s="130">
        <v>41300</v>
      </c>
      <c r="H105" s="130">
        <v>64</v>
      </c>
      <c r="I105" s="131">
        <f t="shared" si="1"/>
        <v>2643200</v>
      </c>
    </row>
    <row r="106" spans="2:9" ht="21.95" customHeight="1">
      <c r="B106" s="125">
        <f>SUBTOTAL(3,$F$11:F106)+0</f>
        <v>96</v>
      </c>
      <c r="C106" s="126">
        <v>45274</v>
      </c>
      <c r="D106" s="132">
        <v>4</v>
      </c>
      <c r="E106" s="128">
        <v>12</v>
      </c>
      <c r="F106" s="129" t="s">
        <v>1126</v>
      </c>
      <c r="G106" s="130">
        <v>41300</v>
      </c>
      <c r="H106" s="130">
        <v>27</v>
      </c>
      <c r="I106" s="131">
        <f t="shared" si="1"/>
        <v>1115100</v>
      </c>
    </row>
    <row r="107" spans="2:9" ht="21.95" customHeight="1">
      <c r="B107" s="125">
        <f>SUBTOTAL(3,$F$11:F107)+0</f>
        <v>97</v>
      </c>
      <c r="C107" s="126">
        <v>45274</v>
      </c>
      <c r="D107" s="132">
        <v>4</v>
      </c>
      <c r="E107" s="128">
        <v>12</v>
      </c>
      <c r="F107" s="129" t="s">
        <v>1126</v>
      </c>
      <c r="G107" s="130">
        <v>65100</v>
      </c>
      <c r="H107" s="130">
        <v>36</v>
      </c>
      <c r="I107" s="131">
        <f t="shared" si="1"/>
        <v>2343600</v>
      </c>
    </row>
    <row r="108" spans="2:9" ht="21.95" customHeight="1">
      <c r="B108" s="125">
        <f>SUBTOTAL(3,$F$11:F108)+0</f>
        <v>98</v>
      </c>
      <c r="C108" s="126">
        <v>45277</v>
      </c>
      <c r="D108" s="132">
        <v>4</v>
      </c>
      <c r="E108" s="128">
        <v>12</v>
      </c>
      <c r="F108" s="129" t="s">
        <v>1126</v>
      </c>
      <c r="G108" s="130">
        <v>59500</v>
      </c>
      <c r="H108" s="130">
        <v>66</v>
      </c>
      <c r="I108" s="131">
        <f t="shared" si="1"/>
        <v>3927000</v>
      </c>
    </row>
    <row r="109" spans="2:9" ht="21.95" customHeight="1">
      <c r="B109" s="125">
        <f>SUBTOTAL(3,$F$11:F109)+0</f>
        <v>99</v>
      </c>
      <c r="C109" s="126">
        <v>45278</v>
      </c>
      <c r="D109" s="132">
        <v>4</v>
      </c>
      <c r="E109" s="128">
        <v>12</v>
      </c>
      <c r="F109" s="129" t="s">
        <v>1126</v>
      </c>
      <c r="G109" s="130">
        <v>33600</v>
      </c>
      <c r="H109" s="130">
        <v>29</v>
      </c>
      <c r="I109" s="131">
        <f t="shared" si="1"/>
        <v>974400</v>
      </c>
    </row>
    <row r="110" spans="2:9" ht="21.95" customHeight="1">
      <c r="B110" s="133">
        <f>SUBTOTAL(3,$F$11:F110)+0</f>
        <v>100</v>
      </c>
      <c r="C110" s="134">
        <v>45280</v>
      </c>
      <c r="D110" s="135">
        <v>4</v>
      </c>
      <c r="E110" s="136">
        <v>12</v>
      </c>
      <c r="F110" s="137" t="s">
        <v>1126</v>
      </c>
      <c r="G110" s="138">
        <v>46000</v>
      </c>
      <c r="H110" s="138">
        <v>50</v>
      </c>
      <c r="I110" s="139">
        <f t="shared" si="1"/>
        <v>2300000</v>
      </c>
    </row>
    <row r="111" spans="2:9" ht="21.95" customHeight="1"/>
    <row r="112" spans="2:9" ht="21.95" customHeight="1"/>
    <row r="113" ht="21.95" customHeight="1"/>
    <row r="114" ht="21.95" customHeight="1"/>
    <row r="115" ht="21.95" customHeight="1"/>
    <row r="116" ht="21.95" customHeight="1"/>
    <row r="117" ht="21.95" customHeight="1"/>
    <row r="118" ht="21.95" customHeight="1"/>
  </sheetData>
  <mergeCells count="1">
    <mergeCell ref="F7:I7"/>
  </mergeCells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단축키</vt:lpstr>
      <vt:lpstr>문자표</vt:lpstr>
      <vt:lpstr>1. 자동채우기</vt:lpstr>
      <vt:lpstr>2. 데이터합치기</vt:lpstr>
      <vt:lpstr>3. 셀 복사</vt:lpstr>
      <vt:lpstr>4. 동일 형태표 일괄 수정(1)</vt:lpstr>
      <vt:lpstr>4. 동일 형태표 일괄 수정(2)</vt:lpstr>
      <vt:lpstr>5. VLOOKUP</vt:lpstr>
      <vt:lpstr>5. VLOOKUP 응용</vt:lpstr>
      <vt:lpstr>6.고급필터</vt:lpstr>
      <vt:lpstr>7. SUBTOTAL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오지안</dc:creator>
  <cp:lastModifiedBy>SD</cp:lastModifiedBy>
  <cp:lastPrinted>2024-06-10T08:06:45Z</cp:lastPrinted>
  <dcterms:created xsi:type="dcterms:W3CDTF">2019-09-12T05:49:12Z</dcterms:created>
  <dcterms:modified xsi:type="dcterms:W3CDTF">2024-06-10T09:00:57Z</dcterms:modified>
</cp:coreProperties>
</file>